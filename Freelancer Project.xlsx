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6350" activeTab="2"/>
  </bookViews>
  <sheets>
    <sheet name="Data" sheetId="1" r:id="rId1"/>
    <sheet name="Pivot Table" sheetId="2" r:id="rId2"/>
    <sheet name="Dashboard" sheetId="4" r:id="rId3"/>
  </sheets>
  <definedNames>
    <definedName name="_xlnm._FilterDatabase" localSheetId="0" hidden="1">Data!$A$1:$R$1001</definedName>
    <definedName name="Slicer_Primary_Skill">#N/A</definedName>
    <definedName name="Slicer_Status">#N/A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 l="1"/>
  <c r="N14" i="1"/>
  <c r="N19" i="1"/>
  <c r="N23" i="1"/>
  <c r="N29" i="1"/>
  <c r="N32" i="1"/>
  <c r="N57" i="1"/>
  <c r="N66" i="1"/>
  <c r="N72" i="1"/>
  <c r="N75" i="1"/>
  <c r="N80" i="1"/>
  <c r="N102" i="1"/>
  <c r="N108" i="1"/>
  <c r="N126" i="1"/>
  <c r="N127" i="1"/>
  <c r="N135" i="1"/>
  <c r="N148" i="1"/>
  <c r="N185" i="1"/>
  <c r="N191" i="1"/>
  <c r="N220" i="1"/>
  <c r="N232" i="1"/>
  <c r="N235" i="1"/>
  <c r="N242" i="1"/>
  <c r="N245" i="1"/>
  <c r="N249" i="1"/>
  <c r="N264" i="1"/>
  <c r="N272" i="1"/>
  <c r="N280" i="1"/>
  <c r="N292" i="1"/>
  <c r="N297" i="1"/>
  <c r="N324" i="1"/>
  <c r="N334" i="1"/>
  <c r="N346" i="1"/>
  <c r="N359" i="1"/>
  <c r="N369" i="1"/>
  <c r="N378" i="1"/>
  <c r="N382" i="1"/>
  <c r="N396" i="1"/>
  <c r="N400" i="1"/>
  <c r="N423" i="1"/>
  <c r="N429" i="1"/>
  <c r="N431" i="1"/>
  <c r="N432" i="1"/>
  <c r="N444" i="1"/>
  <c r="N462" i="1"/>
  <c r="N493" i="1"/>
  <c r="N498" i="1"/>
  <c r="N527" i="1"/>
  <c r="N531" i="1"/>
  <c r="N534" i="1"/>
  <c r="N536" i="1"/>
  <c r="N537" i="1"/>
  <c r="N553" i="1"/>
  <c r="N559" i="1"/>
  <c r="N567" i="1"/>
  <c r="N568" i="1"/>
  <c r="N572" i="1"/>
  <c r="N576" i="1"/>
  <c r="N601" i="1"/>
  <c r="N608" i="1"/>
  <c r="N615" i="1"/>
  <c r="N624" i="1"/>
  <c r="N635" i="1"/>
  <c r="N650" i="1"/>
  <c r="N669" i="1"/>
  <c r="N672" i="1"/>
  <c r="N674" i="1"/>
  <c r="N680" i="1"/>
  <c r="N690" i="1"/>
  <c r="N696" i="1"/>
  <c r="N699" i="1"/>
  <c r="N740" i="1"/>
  <c r="N741" i="1"/>
  <c r="N756" i="1"/>
  <c r="N764" i="1"/>
  <c r="N787" i="1"/>
  <c r="N791" i="1"/>
  <c r="N793" i="1"/>
  <c r="N794" i="1"/>
  <c r="N798" i="1"/>
  <c r="N799" i="1"/>
  <c r="N842" i="1"/>
  <c r="N857" i="1"/>
  <c r="N860" i="1"/>
  <c r="N877" i="1"/>
  <c r="N888" i="1"/>
  <c r="N907" i="1"/>
  <c r="N927" i="1"/>
  <c r="N936" i="1"/>
  <c r="N939" i="1"/>
  <c r="N947" i="1"/>
  <c r="N971" i="1"/>
  <c r="N976" i="1"/>
  <c r="N10" i="1"/>
  <c r="S999" i="1"/>
  <c r="S997" i="1"/>
  <c r="S996" i="1"/>
  <c r="S994" i="1"/>
  <c r="S993" i="1"/>
  <c r="S991" i="1"/>
  <c r="S989" i="1"/>
  <c r="S987" i="1"/>
  <c r="S986" i="1"/>
  <c r="S984" i="1"/>
  <c r="S983" i="1"/>
  <c r="S981" i="1"/>
  <c r="S980" i="1"/>
  <c r="S979" i="1"/>
  <c r="S977" i="1"/>
  <c r="S976" i="1"/>
  <c r="S975" i="1"/>
  <c r="S974" i="1"/>
  <c r="S973" i="1"/>
  <c r="S972" i="1"/>
  <c r="S971" i="1"/>
  <c r="S969" i="1"/>
  <c r="S968" i="1"/>
  <c r="S967" i="1"/>
  <c r="S965" i="1"/>
  <c r="S964" i="1"/>
  <c r="S963" i="1"/>
  <c r="S960" i="1"/>
  <c r="S959" i="1"/>
  <c r="S958" i="1"/>
  <c r="S957" i="1"/>
  <c r="S954" i="1"/>
  <c r="S953" i="1"/>
  <c r="S952" i="1"/>
  <c r="S951" i="1"/>
  <c r="S950" i="1"/>
  <c r="S949" i="1"/>
  <c r="S948" i="1"/>
  <c r="S947" i="1"/>
  <c r="S946" i="1"/>
  <c r="S945" i="1"/>
  <c r="S944" i="1"/>
  <c r="S943" i="1"/>
  <c r="S941" i="1"/>
  <c r="S939" i="1"/>
  <c r="S938" i="1"/>
  <c r="S937" i="1"/>
  <c r="S935" i="1"/>
  <c r="S934" i="1"/>
  <c r="S933" i="1"/>
  <c r="S932" i="1"/>
  <c r="S931" i="1"/>
  <c r="S930" i="1"/>
  <c r="S927" i="1"/>
  <c r="S926" i="1"/>
  <c r="S923" i="1"/>
  <c r="S922" i="1"/>
  <c r="S921" i="1"/>
  <c r="S919" i="1"/>
  <c r="S918" i="1"/>
  <c r="S917" i="1"/>
  <c r="S916" i="1"/>
  <c r="S915" i="1"/>
  <c r="S914" i="1"/>
  <c r="S911" i="1"/>
  <c r="S910" i="1"/>
  <c r="S909" i="1"/>
  <c r="S906" i="1"/>
  <c r="S903" i="1"/>
  <c r="S902" i="1"/>
  <c r="S898" i="1"/>
  <c r="S897" i="1"/>
  <c r="S895" i="1"/>
  <c r="S894" i="1"/>
  <c r="S890" i="1"/>
  <c r="S889" i="1"/>
  <c r="S888" i="1"/>
  <c r="S887" i="1"/>
  <c r="S886" i="1"/>
  <c r="S885" i="1"/>
  <c r="S884" i="1"/>
  <c r="S883" i="1"/>
  <c r="S880" i="1"/>
  <c r="S878" i="1"/>
  <c r="S877" i="1"/>
  <c r="S876" i="1"/>
  <c r="S875" i="1"/>
  <c r="S873" i="1"/>
  <c r="S872" i="1"/>
  <c r="S871" i="1"/>
  <c r="S870" i="1"/>
  <c r="S868" i="1"/>
  <c r="S867" i="1"/>
  <c r="S866" i="1"/>
  <c r="S865" i="1"/>
  <c r="S864" i="1"/>
  <c r="S863" i="1"/>
  <c r="S862" i="1"/>
  <c r="S861" i="1"/>
  <c r="S859" i="1"/>
  <c r="S858" i="1"/>
  <c r="S857" i="1"/>
  <c r="S854" i="1"/>
  <c r="S851" i="1"/>
  <c r="S849" i="1"/>
  <c r="S847" i="1"/>
  <c r="S846" i="1"/>
  <c r="S845" i="1"/>
  <c r="S843" i="1"/>
  <c r="S842" i="1"/>
  <c r="S841" i="1"/>
  <c r="S840" i="1"/>
  <c r="S838" i="1"/>
  <c r="S836" i="1"/>
  <c r="S834" i="1"/>
  <c r="S833" i="1"/>
  <c r="S832" i="1"/>
  <c r="S829" i="1"/>
  <c r="S828" i="1"/>
  <c r="S827" i="1"/>
  <c r="S826" i="1"/>
  <c r="S824" i="1"/>
  <c r="S823" i="1"/>
  <c r="S822" i="1"/>
  <c r="S821" i="1"/>
  <c r="S819" i="1"/>
  <c r="S818" i="1"/>
  <c r="S817" i="1"/>
  <c r="S816" i="1"/>
  <c r="S815" i="1"/>
  <c r="S814" i="1"/>
  <c r="S813" i="1"/>
  <c r="S812" i="1"/>
  <c r="S810" i="1"/>
  <c r="S808" i="1"/>
  <c r="S807" i="1"/>
  <c r="S806" i="1"/>
  <c r="S805" i="1"/>
  <c r="S802" i="1"/>
  <c r="S801" i="1"/>
  <c r="S800" i="1"/>
  <c r="S799" i="1"/>
  <c r="S797" i="1"/>
  <c r="S795" i="1"/>
  <c r="S794" i="1"/>
  <c r="S793" i="1"/>
  <c r="S792" i="1"/>
  <c r="S791" i="1"/>
  <c r="S789" i="1"/>
  <c r="S788" i="1"/>
  <c r="S787" i="1"/>
  <c r="S785" i="1"/>
  <c r="S782" i="1"/>
  <c r="S781" i="1"/>
  <c r="S780" i="1"/>
  <c r="S779" i="1"/>
  <c r="S778" i="1"/>
  <c r="S777" i="1"/>
  <c r="S776" i="1"/>
  <c r="S775" i="1"/>
  <c r="S774" i="1"/>
  <c r="S773" i="1"/>
  <c r="S772" i="1"/>
  <c r="S771" i="1"/>
  <c r="S769" i="1"/>
  <c r="S768" i="1"/>
  <c r="S767" i="1"/>
  <c r="S766" i="1"/>
  <c r="S765" i="1"/>
  <c r="S764" i="1"/>
  <c r="S763" i="1"/>
  <c r="S762" i="1"/>
  <c r="S761" i="1"/>
  <c r="S760" i="1"/>
  <c r="S759" i="1"/>
  <c r="S757" i="1"/>
  <c r="S756" i="1"/>
  <c r="S755" i="1"/>
  <c r="S754" i="1"/>
  <c r="S753" i="1"/>
  <c r="S752" i="1"/>
  <c r="S748" i="1"/>
  <c r="S746" i="1"/>
  <c r="S745" i="1"/>
  <c r="S743" i="1"/>
  <c r="S742" i="1"/>
  <c r="S741" i="1"/>
  <c r="S740" i="1"/>
  <c r="S739" i="1"/>
  <c r="S738" i="1"/>
  <c r="S737" i="1"/>
  <c r="S736" i="1"/>
  <c r="S735" i="1"/>
  <c r="S734" i="1"/>
  <c r="S733" i="1"/>
  <c r="S732" i="1"/>
  <c r="S731" i="1"/>
  <c r="S729" i="1"/>
  <c r="S728" i="1"/>
  <c r="S725" i="1"/>
  <c r="S722" i="1"/>
  <c r="S716" i="1"/>
  <c r="S713" i="1"/>
  <c r="S712" i="1"/>
  <c r="S708" i="1"/>
  <c r="S707" i="1"/>
  <c r="S706" i="1"/>
  <c r="S705" i="1"/>
  <c r="S702" i="1"/>
  <c r="S701" i="1"/>
  <c r="S700" i="1"/>
  <c r="S699" i="1"/>
  <c r="S698" i="1"/>
  <c r="S697" i="1"/>
  <c r="S696" i="1"/>
  <c r="S694" i="1"/>
  <c r="S693" i="1"/>
  <c r="S692" i="1"/>
  <c r="S690" i="1"/>
  <c r="S689" i="1"/>
  <c r="S688" i="1"/>
  <c r="S687" i="1"/>
  <c r="S685" i="1"/>
  <c r="S683" i="1"/>
  <c r="S682" i="1"/>
  <c r="S681" i="1"/>
  <c r="S679" i="1"/>
  <c r="S678" i="1"/>
  <c r="S677" i="1"/>
  <c r="S674" i="1"/>
  <c r="S673" i="1"/>
  <c r="S672" i="1"/>
  <c r="S671" i="1"/>
  <c r="S669" i="1"/>
  <c r="S667" i="1"/>
  <c r="S666" i="1"/>
  <c r="S665" i="1"/>
  <c r="S661" i="1"/>
  <c r="S660" i="1"/>
  <c r="S659" i="1"/>
  <c r="S658" i="1"/>
  <c r="S657" i="1"/>
  <c r="S656" i="1"/>
  <c r="S654" i="1"/>
  <c r="S650" i="1"/>
  <c r="S649" i="1"/>
  <c r="S648" i="1"/>
  <c r="S647" i="1"/>
  <c r="S646" i="1"/>
  <c r="S644" i="1"/>
  <c r="S643" i="1"/>
  <c r="S642" i="1"/>
  <c r="S641" i="1"/>
  <c r="S640" i="1"/>
  <c r="S639" i="1"/>
  <c r="S638" i="1"/>
  <c r="S637" i="1"/>
  <c r="S636" i="1"/>
  <c r="S632" i="1"/>
  <c r="S630" i="1"/>
  <c r="S629" i="1"/>
  <c r="S626" i="1"/>
  <c r="S625" i="1"/>
  <c r="S624" i="1"/>
  <c r="S622" i="1"/>
  <c r="S621" i="1"/>
  <c r="S620" i="1"/>
  <c r="S619" i="1"/>
  <c r="S618" i="1"/>
  <c r="S617" i="1"/>
  <c r="S616" i="1"/>
  <c r="S614" i="1"/>
  <c r="S612" i="1"/>
  <c r="S611" i="1"/>
  <c r="S610" i="1"/>
  <c r="S608" i="1"/>
  <c r="S607" i="1"/>
  <c r="S606" i="1"/>
  <c r="S604" i="1"/>
  <c r="S602" i="1"/>
  <c r="S601" i="1"/>
  <c r="S599" i="1"/>
  <c r="S598" i="1"/>
  <c r="S597" i="1"/>
  <c r="S594" i="1"/>
  <c r="S592" i="1"/>
  <c r="S590" i="1"/>
  <c r="S587" i="1"/>
  <c r="S586" i="1"/>
  <c r="S585" i="1"/>
  <c r="S583" i="1"/>
  <c r="S582" i="1"/>
  <c r="S580" i="1"/>
  <c r="S579" i="1"/>
  <c r="S578" i="1"/>
  <c r="S577" i="1"/>
  <c r="S576" i="1"/>
  <c r="S575" i="1"/>
  <c r="S574" i="1"/>
  <c r="S572" i="1"/>
  <c r="S571" i="1"/>
  <c r="S570" i="1"/>
  <c r="S569" i="1"/>
  <c r="S568" i="1"/>
  <c r="S567" i="1"/>
  <c r="S565" i="1"/>
  <c r="S564" i="1"/>
  <c r="S563" i="1"/>
  <c r="S562" i="1"/>
  <c r="S561" i="1"/>
  <c r="S560" i="1"/>
  <c r="S558" i="1"/>
  <c r="S556" i="1"/>
  <c r="S554" i="1"/>
  <c r="S553" i="1"/>
  <c r="S551" i="1"/>
  <c r="S550" i="1"/>
  <c r="S549" i="1"/>
  <c r="S548" i="1"/>
  <c r="S546" i="1"/>
  <c r="S545" i="1"/>
  <c r="S544" i="1"/>
  <c r="S543" i="1"/>
  <c r="S541" i="1"/>
  <c r="S540" i="1"/>
  <c r="S538" i="1"/>
  <c r="S537" i="1"/>
  <c r="S536" i="1"/>
  <c r="S535" i="1"/>
  <c r="S533" i="1"/>
  <c r="S531" i="1"/>
  <c r="S530" i="1"/>
  <c r="S528" i="1"/>
  <c r="S527" i="1"/>
  <c r="S526" i="1"/>
  <c r="S525" i="1"/>
  <c r="S524" i="1"/>
  <c r="S523" i="1"/>
  <c r="S521" i="1"/>
  <c r="S520" i="1"/>
  <c r="S519" i="1"/>
  <c r="S517" i="1"/>
  <c r="S514" i="1"/>
  <c r="S513" i="1"/>
  <c r="S512" i="1"/>
  <c r="S511" i="1"/>
  <c r="S510" i="1"/>
  <c r="S508" i="1"/>
  <c r="S507" i="1"/>
  <c r="S506" i="1"/>
  <c r="S505" i="1"/>
  <c r="S504" i="1"/>
  <c r="S503" i="1"/>
  <c r="S502" i="1"/>
  <c r="S501" i="1"/>
  <c r="S500" i="1"/>
  <c r="S499" i="1"/>
  <c r="S498" i="1"/>
  <c r="S497" i="1"/>
  <c r="S496" i="1"/>
  <c r="S495" i="1"/>
  <c r="S494" i="1"/>
  <c r="S492" i="1"/>
  <c r="S491" i="1"/>
  <c r="S490" i="1"/>
  <c r="S488" i="1"/>
  <c r="S486" i="1"/>
  <c r="S485" i="1"/>
  <c r="S484" i="1"/>
  <c r="S483" i="1"/>
  <c r="S480" i="1"/>
  <c r="S476" i="1"/>
  <c r="S473" i="1"/>
  <c r="S472" i="1"/>
  <c r="S470" i="1"/>
  <c r="S469" i="1"/>
  <c r="S465" i="1"/>
  <c r="S464" i="1"/>
  <c r="S463" i="1"/>
  <c r="S462" i="1"/>
  <c r="S461" i="1"/>
  <c r="S459" i="1"/>
  <c r="S457" i="1"/>
  <c r="S455" i="1"/>
  <c r="S453" i="1"/>
  <c r="S452" i="1"/>
  <c r="S451" i="1"/>
  <c r="S450" i="1"/>
  <c r="S449" i="1"/>
  <c r="S446" i="1"/>
  <c r="S443" i="1"/>
  <c r="S442" i="1"/>
  <c r="S441" i="1"/>
  <c r="S440" i="1"/>
  <c r="S439" i="1"/>
  <c r="S438" i="1"/>
  <c r="S437" i="1"/>
  <c r="S436" i="1"/>
  <c r="S435" i="1"/>
  <c r="S434" i="1"/>
  <c r="S432" i="1"/>
  <c r="S431" i="1"/>
  <c r="S430" i="1"/>
  <c r="S429" i="1"/>
  <c r="S428" i="1"/>
  <c r="S427" i="1"/>
  <c r="S424" i="1"/>
  <c r="S423" i="1"/>
  <c r="S422" i="1"/>
  <c r="S421" i="1"/>
  <c r="S420" i="1"/>
  <c r="S418" i="1"/>
  <c r="S417" i="1"/>
  <c r="S415" i="1"/>
  <c r="S413" i="1"/>
  <c r="S412" i="1"/>
  <c r="S411" i="1"/>
  <c r="S410" i="1"/>
  <c r="S409" i="1"/>
  <c r="S408" i="1"/>
  <c r="S407" i="1"/>
  <c r="S405" i="1"/>
  <c r="S404" i="1"/>
  <c r="S403" i="1"/>
  <c r="S402" i="1"/>
  <c r="S401" i="1"/>
  <c r="S400" i="1"/>
  <c r="S399" i="1"/>
  <c r="S398" i="1"/>
  <c r="S394" i="1"/>
  <c r="S393" i="1"/>
  <c r="S391" i="1"/>
  <c r="S390" i="1"/>
  <c r="S388" i="1"/>
  <c r="S387" i="1"/>
  <c r="S386" i="1"/>
  <c r="S385" i="1"/>
  <c r="S384" i="1"/>
  <c r="S383" i="1"/>
  <c r="S382" i="1"/>
  <c r="S380" i="1"/>
  <c r="S379" i="1"/>
  <c r="S377" i="1"/>
  <c r="S376" i="1"/>
  <c r="S374" i="1"/>
  <c r="S373" i="1"/>
  <c r="S372" i="1"/>
  <c r="S370" i="1"/>
  <c r="S367" i="1"/>
  <c r="S364" i="1"/>
  <c r="S363" i="1"/>
  <c r="S362" i="1"/>
  <c r="S361" i="1"/>
  <c r="S360" i="1"/>
  <c r="S359" i="1"/>
  <c r="S358" i="1"/>
  <c r="S356" i="1"/>
  <c r="S355" i="1"/>
  <c r="S354" i="1"/>
  <c r="S353" i="1"/>
  <c r="S352" i="1"/>
  <c r="S348" i="1"/>
  <c r="S347" i="1"/>
  <c r="S346" i="1"/>
  <c r="S345" i="1"/>
  <c r="S343" i="1"/>
  <c r="S340" i="1"/>
  <c r="S339" i="1"/>
  <c r="S338" i="1"/>
  <c r="S336" i="1"/>
  <c r="S334" i="1"/>
  <c r="S333" i="1"/>
  <c r="S332" i="1"/>
  <c r="S331" i="1"/>
  <c r="S330" i="1"/>
  <c r="S327" i="1"/>
  <c r="S326" i="1"/>
  <c r="S325" i="1"/>
  <c r="S324" i="1"/>
  <c r="S321" i="1"/>
  <c r="S319" i="1"/>
  <c r="S317" i="1"/>
  <c r="S316" i="1"/>
  <c r="S315" i="1"/>
  <c r="S314" i="1"/>
  <c r="S311" i="1"/>
  <c r="S310" i="1"/>
  <c r="S309" i="1"/>
  <c r="S308" i="1"/>
  <c r="S307" i="1"/>
  <c r="S305" i="1"/>
  <c r="S304" i="1"/>
  <c r="S303" i="1"/>
  <c r="S302" i="1"/>
  <c r="S301" i="1"/>
  <c r="S300" i="1"/>
  <c r="S299" i="1"/>
  <c r="S298" i="1"/>
  <c r="S297" i="1"/>
  <c r="S296" i="1"/>
  <c r="S294" i="1"/>
  <c r="S293" i="1"/>
  <c r="S292" i="1"/>
  <c r="S290" i="1"/>
  <c r="S289" i="1"/>
  <c r="S288" i="1"/>
  <c r="S285" i="1"/>
  <c r="S284" i="1"/>
  <c r="S283" i="1"/>
  <c r="S282" i="1"/>
  <c r="S281" i="1"/>
  <c r="S279" i="1"/>
  <c r="S278" i="1"/>
  <c r="S277" i="1"/>
  <c r="S276" i="1"/>
  <c r="S275" i="1"/>
  <c r="S274" i="1"/>
  <c r="S273" i="1"/>
  <c r="S272" i="1"/>
  <c r="S270" i="1"/>
  <c r="S268" i="1"/>
  <c r="S267" i="1"/>
  <c r="S266" i="1"/>
  <c r="S265" i="1"/>
  <c r="S264" i="1"/>
  <c r="S263" i="1"/>
  <c r="S262" i="1"/>
  <c r="S259" i="1"/>
  <c r="S258" i="1"/>
  <c r="S257" i="1"/>
  <c r="S256" i="1"/>
  <c r="S254" i="1"/>
  <c r="S252" i="1"/>
  <c r="S250" i="1"/>
  <c r="S246" i="1"/>
  <c r="S245" i="1"/>
  <c r="S244" i="1"/>
  <c r="S243" i="1"/>
  <c r="S240" i="1"/>
  <c r="S239" i="1"/>
  <c r="S238" i="1"/>
  <c r="S234" i="1"/>
  <c r="S233" i="1"/>
  <c r="S230" i="1"/>
  <c r="S229" i="1"/>
  <c r="S228" i="1"/>
  <c r="S226" i="1"/>
  <c r="S225" i="1"/>
  <c r="S224" i="1"/>
  <c r="S223" i="1"/>
  <c r="S220" i="1"/>
  <c r="S219" i="1"/>
  <c r="S218" i="1"/>
  <c r="S217" i="1"/>
  <c r="S216" i="1"/>
  <c r="S215" i="1"/>
  <c r="S214" i="1"/>
  <c r="S213" i="1"/>
  <c r="S211" i="1"/>
  <c r="S209" i="1"/>
  <c r="S208" i="1"/>
  <c r="S207" i="1"/>
  <c r="S205" i="1"/>
  <c r="S204" i="1"/>
  <c r="S203" i="1"/>
  <c r="S201" i="1"/>
  <c r="S200" i="1"/>
  <c r="S199" i="1"/>
  <c r="S197" i="1"/>
  <c r="S196" i="1"/>
  <c r="S195" i="1"/>
  <c r="S194" i="1"/>
  <c r="S193" i="1"/>
  <c r="S192" i="1"/>
  <c r="S190" i="1"/>
  <c r="S189" i="1"/>
  <c r="S187" i="1"/>
  <c r="S186" i="1"/>
  <c r="S185" i="1"/>
  <c r="S184" i="1"/>
  <c r="S183" i="1"/>
  <c r="S182" i="1"/>
  <c r="S181" i="1"/>
  <c r="S180" i="1"/>
  <c r="S179" i="1"/>
  <c r="S178" i="1"/>
  <c r="S177" i="1"/>
  <c r="S176" i="1"/>
  <c r="S175" i="1"/>
  <c r="S173" i="1"/>
  <c r="S172" i="1"/>
  <c r="S171" i="1"/>
  <c r="S169" i="1"/>
  <c r="S168" i="1"/>
  <c r="S167" i="1"/>
  <c r="S166" i="1"/>
  <c r="S165" i="1"/>
  <c r="S163" i="1"/>
  <c r="S162" i="1"/>
  <c r="S161" i="1"/>
  <c r="S160" i="1"/>
  <c r="S159" i="1"/>
  <c r="S156" i="1"/>
  <c r="S155" i="1"/>
  <c r="S153" i="1"/>
  <c r="S150" i="1"/>
  <c r="S149" i="1"/>
  <c r="S148" i="1"/>
  <c r="S147" i="1"/>
  <c r="S145" i="1"/>
  <c r="S144" i="1"/>
  <c r="S143" i="1"/>
  <c r="S142" i="1"/>
  <c r="S141" i="1"/>
  <c r="S138" i="1"/>
  <c r="S137" i="1"/>
  <c r="S136" i="1"/>
  <c r="S135" i="1"/>
  <c r="S134" i="1"/>
  <c r="S133" i="1"/>
  <c r="S131" i="1"/>
  <c r="S130" i="1"/>
  <c r="S129" i="1"/>
  <c r="S128" i="1"/>
  <c r="S127" i="1"/>
  <c r="S126" i="1"/>
  <c r="S124" i="1"/>
  <c r="S121" i="1"/>
  <c r="S119" i="1"/>
  <c r="S118" i="1"/>
  <c r="S117" i="1"/>
  <c r="S114" i="1"/>
  <c r="S112" i="1"/>
  <c r="S110" i="1"/>
  <c r="S109" i="1"/>
  <c r="S107" i="1"/>
  <c r="S106" i="1"/>
  <c r="S105" i="1"/>
  <c r="S104" i="1"/>
  <c r="S102" i="1"/>
  <c r="S101" i="1"/>
  <c r="S100" i="1"/>
  <c r="S98" i="1"/>
  <c r="S97" i="1"/>
  <c r="S96" i="1"/>
  <c r="S95" i="1"/>
  <c r="S94" i="1"/>
  <c r="S93" i="1"/>
  <c r="S92" i="1"/>
  <c r="S91" i="1"/>
  <c r="S89" i="1"/>
  <c r="S87" i="1"/>
  <c r="S85" i="1"/>
  <c r="S84" i="1"/>
  <c r="S82" i="1"/>
  <c r="S80" i="1"/>
  <c r="S77" i="1"/>
  <c r="S74" i="1"/>
  <c r="S72" i="1"/>
  <c r="S71" i="1"/>
  <c r="S68" i="1"/>
  <c r="S66" i="1"/>
  <c r="S65" i="1"/>
  <c r="S64" i="1"/>
  <c r="S61" i="1"/>
  <c r="S60" i="1"/>
  <c r="S59" i="1"/>
  <c r="S58" i="1"/>
  <c r="S57" i="1"/>
  <c r="S56" i="1"/>
  <c r="S55" i="1"/>
  <c r="S54" i="1"/>
  <c r="S52" i="1"/>
  <c r="S51" i="1"/>
  <c r="S49" i="1"/>
  <c r="S48" i="1"/>
  <c r="S47" i="1"/>
  <c r="S46" i="1"/>
  <c r="S45" i="1"/>
  <c r="S43" i="1"/>
  <c r="S41" i="1"/>
  <c r="S39" i="1"/>
  <c r="S38" i="1"/>
  <c r="S36" i="1"/>
  <c r="S34" i="1"/>
  <c r="S33" i="1"/>
  <c r="S30" i="1"/>
  <c r="S29" i="1"/>
  <c r="S28" i="1"/>
  <c r="S27" i="1"/>
  <c r="S25" i="1"/>
  <c r="S23" i="1"/>
  <c r="S22" i="1"/>
  <c r="S21" i="1"/>
  <c r="S20" i="1"/>
  <c r="S19" i="1"/>
  <c r="S18" i="1"/>
  <c r="S17" i="1"/>
  <c r="S16" i="1"/>
  <c r="S15" i="1"/>
  <c r="S14" i="1"/>
  <c r="S13" i="1"/>
  <c r="S12" i="1"/>
  <c r="S10" i="1"/>
  <c r="S9" i="1"/>
  <c r="S8" i="1"/>
  <c r="S6" i="1"/>
  <c r="S5" i="1"/>
  <c r="S4" i="1"/>
  <c r="S3" i="1"/>
  <c r="S1001" i="1"/>
  <c r="S1000" i="1"/>
  <c r="S998" i="1"/>
  <c r="S995" i="1"/>
  <c r="S992" i="1"/>
  <c r="S990" i="1"/>
  <c r="S988" i="1"/>
  <c r="S985" i="1"/>
  <c r="S962" i="1"/>
  <c r="S956" i="1"/>
  <c r="S955" i="1"/>
  <c r="S940" i="1"/>
  <c r="S936" i="1"/>
  <c r="S928" i="1"/>
  <c r="S908" i="1"/>
  <c r="S907" i="1"/>
  <c r="S901" i="1"/>
  <c r="S896" i="1"/>
  <c r="S893" i="1"/>
  <c r="S892" i="1"/>
  <c r="S860" i="1"/>
  <c r="S852" i="1"/>
  <c r="S839" i="1"/>
  <c r="S835" i="1"/>
  <c r="S830" i="1"/>
  <c r="S825" i="1"/>
  <c r="S804" i="1"/>
  <c r="S803" i="1"/>
  <c r="S798" i="1"/>
  <c r="S790" i="1"/>
  <c r="S786" i="1"/>
  <c r="S784" i="1"/>
  <c r="S751" i="1"/>
  <c r="S750" i="1"/>
  <c r="S749" i="1"/>
  <c r="S747" i="1"/>
  <c r="S730" i="1"/>
  <c r="S727" i="1"/>
  <c r="S726" i="1"/>
  <c r="S710" i="1"/>
  <c r="S704" i="1"/>
  <c r="S703" i="1"/>
  <c r="S686" i="1"/>
  <c r="S684" i="1"/>
  <c r="S675" i="1"/>
  <c r="S670" i="1"/>
  <c r="S662" i="1"/>
  <c r="S655" i="1"/>
  <c r="S652" i="1"/>
  <c r="S651" i="1"/>
  <c r="S635" i="1"/>
  <c r="S631" i="1"/>
  <c r="S628" i="1"/>
  <c r="S627" i="1"/>
  <c r="S605" i="1"/>
  <c r="S603" i="1"/>
  <c r="S596" i="1"/>
  <c r="S595" i="1"/>
  <c r="S581" i="1"/>
  <c r="S552" i="1"/>
  <c r="S547" i="1"/>
  <c r="S539" i="1"/>
  <c r="S532" i="1"/>
  <c r="S518" i="1"/>
  <c r="S515" i="1"/>
  <c r="S482" i="1"/>
  <c r="S477" i="1"/>
  <c r="S471" i="1"/>
  <c r="S468" i="1"/>
  <c r="S467" i="1"/>
  <c r="S448" i="1"/>
  <c r="S445" i="1"/>
  <c r="S444" i="1"/>
  <c r="S419" i="1"/>
  <c r="S406" i="1"/>
  <c r="S397" i="1"/>
  <c r="S381" i="1"/>
  <c r="S378" i="1"/>
  <c r="S368" i="1"/>
  <c r="S365" i="1"/>
  <c r="S357" i="1"/>
  <c r="S351" i="1"/>
  <c r="S349" i="1"/>
  <c r="S337" i="1"/>
  <c r="S328" i="1"/>
  <c r="S313" i="1"/>
  <c r="S291" i="1"/>
  <c r="S280" i="1"/>
  <c r="S271" i="1"/>
  <c r="S261" i="1"/>
  <c r="S260" i="1"/>
  <c r="S253" i="1"/>
  <c r="S248" i="1"/>
  <c r="S247" i="1"/>
  <c r="S231" i="1"/>
  <c r="S212" i="1"/>
  <c r="S210" i="1"/>
  <c r="S206" i="1"/>
  <c r="S202" i="1"/>
  <c r="S170" i="1"/>
  <c r="S157" i="1"/>
  <c r="S146" i="1"/>
  <c r="S139" i="1"/>
  <c r="S132" i="1"/>
  <c r="S123" i="1"/>
  <c r="S111" i="1"/>
  <c r="S103" i="1"/>
  <c r="S99" i="1"/>
  <c r="S83" i="1"/>
  <c r="S78" i="1"/>
  <c r="S75" i="1"/>
  <c r="S67" i="1"/>
  <c r="S35" i="1"/>
  <c r="S26" i="1"/>
  <c r="M1000" i="1"/>
  <c r="N1000" i="1" s="1"/>
  <c r="M999" i="1"/>
  <c r="N999" i="1" s="1"/>
  <c r="M997" i="1"/>
  <c r="N997" i="1" s="1"/>
  <c r="M996" i="1"/>
  <c r="N996" i="1" s="1"/>
  <c r="M995" i="1"/>
  <c r="N995" i="1" s="1"/>
  <c r="M992" i="1"/>
  <c r="N992" i="1" s="1"/>
  <c r="M991" i="1"/>
  <c r="N991" i="1" s="1"/>
  <c r="M988" i="1"/>
  <c r="N988" i="1" s="1"/>
  <c r="M987" i="1"/>
  <c r="N987" i="1" s="1"/>
  <c r="M986" i="1"/>
  <c r="N986" i="1" s="1"/>
  <c r="M983" i="1"/>
  <c r="N983" i="1" s="1"/>
  <c r="M981" i="1"/>
  <c r="N981" i="1" s="1"/>
  <c r="M979" i="1"/>
  <c r="N979" i="1" s="1"/>
  <c r="M978" i="1"/>
  <c r="N978" i="1" s="1"/>
  <c r="M977" i="1"/>
  <c r="N977" i="1" s="1"/>
  <c r="M975" i="1"/>
  <c r="N975" i="1" s="1"/>
  <c r="M970" i="1"/>
  <c r="N970" i="1" s="1"/>
  <c r="M969" i="1"/>
  <c r="N969" i="1" s="1"/>
  <c r="M968" i="1"/>
  <c r="N968" i="1" s="1"/>
  <c r="M966" i="1"/>
  <c r="N966" i="1" s="1"/>
  <c r="M964" i="1"/>
  <c r="N964" i="1" s="1"/>
  <c r="M961" i="1"/>
  <c r="N961" i="1" s="1"/>
  <c r="M960" i="1"/>
  <c r="N960" i="1" s="1"/>
  <c r="M955" i="1"/>
  <c r="N955" i="1" s="1"/>
  <c r="M953" i="1"/>
  <c r="N953" i="1" s="1"/>
  <c r="M952" i="1"/>
  <c r="N952" i="1" s="1"/>
  <c r="M949" i="1"/>
  <c r="N949" i="1" s="1"/>
  <c r="M948" i="1"/>
  <c r="N948" i="1" s="1"/>
  <c r="M945" i="1"/>
  <c r="N945" i="1" s="1"/>
  <c r="M944" i="1"/>
  <c r="N944" i="1" s="1"/>
  <c r="M943" i="1"/>
  <c r="N943" i="1" s="1"/>
  <c r="M941" i="1"/>
  <c r="N941" i="1" s="1"/>
  <c r="M938" i="1"/>
  <c r="N938" i="1" s="1"/>
  <c r="M935" i="1"/>
  <c r="N935" i="1" s="1"/>
  <c r="M934" i="1"/>
  <c r="N934" i="1" s="1"/>
  <c r="M932" i="1"/>
  <c r="N932" i="1" s="1"/>
  <c r="M931" i="1"/>
  <c r="N931" i="1" s="1"/>
  <c r="M926" i="1"/>
  <c r="N926" i="1" s="1"/>
  <c r="M925" i="1"/>
  <c r="N925" i="1" s="1"/>
  <c r="M924" i="1"/>
  <c r="N924" i="1" s="1"/>
  <c r="M922" i="1"/>
  <c r="N922" i="1" s="1"/>
  <c r="M921" i="1"/>
  <c r="N921" i="1" s="1"/>
  <c r="M920" i="1"/>
  <c r="N920" i="1" s="1"/>
  <c r="M919" i="1"/>
  <c r="N919" i="1" s="1"/>
  <c r="M918" i="1"/>
  <c r="N918" i="1" s="1"/>
  <c r="M913" i="1"/>
  <c r="N913" i="1" s="1"/>
  <c r="M911" i="1"/>
  <c r="N911" i="1" s="1"/>
  <c r="M906" i="1"/>
  <c r="N906" i="1" s="1"/>
  <c r="M903" i="1"/>
  <c r="N903" i="1" s="1"/>
  <c r="M902" i="1"/>
  <c r="N902" i="1" s="1"/>
  <c r="M901" i="1"/>
  <c r="N901" i="1" s="1"/>
  <c r="M900" i="1"/>
  <c r="N900" i="1" s="1"/>
  <c r="M898" i="1"/>
  <c r="N898" i="1" s="1"/>
  <c r="M896" i="1"/>
  <c r="N896" i="1" s="1"/>
  <c r="M895" i="1"/>
  <c r="N895" i="1" s="1"/>
  <c r="M894" i="1"/>
  <c r="N894" i="1" s="1"/>
  <c r="M890" i="1"/>
  <c r="N890" i="1" s="1"/>
  <c r="M885" i="1"/>
  <c r="N885" i="1" s="1"/>
  <c r="M882" i="1"/>
  <c r="N882" i="1" s="1"/>
  <c r="M881" i="1"/>
  <c r="N881" i="1" s="1"/>
  <c r="M880" i="1"/>
  <c r="N880" i="1" s="1"/>
  <c r="M879" i="1"/>
  <c r="N879" i="1" s="1"/>
  <c r="M878" i="1"/>
  <c r="N878" i="1" s="1"/>
  <c r="M875" i="1"/>
  <c r="N875" i="1" s="1"/>
  <c r="M871" i="1"/>
  <c r="N871" i="1" s="1"/>
  <c r="M869" i="1"/>
  <c r="N869" i="1" s="1"/>
  <c r="M866" i="1"/>
  <c r="N866" i="1" s="1"/>
  <c r="M865" i="1"/>
  <c r="N865" i="1" s="1"/>
  <c r="M864" i="1"/>
  <c r="N864" i="1" s="1"/>
  <c r="M863" i="1"/>
  <c r="N863" i="1" s="1"/>
  <c r="M862" i="1"/>
  <c r="N862" i="1" s="1"/>
  <c r="M852" i="1"/>
  <c r="N852" i="1" s="1"/>
  <c r="M851" i="1"/>
  <c r="N851" i="1" s="1"/>
  <c r="M849" i="1"/>
  <c r="N849" i="1" s="1"/>
  <c r="M848" i="1"/>
  <c r="N848" i="1" s="1"/>
  <c r="M845" i="1"/>
  <c r="N845" i="1" s="1"/>
  <c r="M841" i="1"/>
  <c r="N841" i="1" s="1"/>
  <c r="M836" i="1"/>
  <c r="N836" i="1" s="1"/>
  <c r="M835" i="1"/>
  <c r="N835" i="1" s="1"/>
  <c r="M833" i="1"/>
  <c r="N833" i="1" s="1"/>
  <c r="M832" i="1"/>
  <c r="N832" i="1" s="1"/>
  <c r="M831" i="1"/>
  <c r="N831" i="1" s="1"/>
  <c r="M829" i="1"/>
  <c r="N829" i="1" s="1"/>
  <c r="M828" i="1"/>
  <c r="N828" i="1" s="1"/>
  <c r="M825" i="1"/>
  <c r="N825" i="1" s="1"/>
  <c r="M824" i="1"/>
  <c r="N824" i="1" s="1"/>
  <c r="M822" i="1"/>
  <c r="N822" i="1" s="1"/>
  <c r="M821" i="1"/>
  <c r="N821" i="1" s="1"/>
  <c r="M819" i="1"/>
  <c r="N819" i="1" s="1"/>
  <c r="M817" i="1"/>
  <c r="N817" i="1" s="1"/>
  <c r="M815" i="1"/>
  <c r="N815" i="1" s="1"/>
  <c r="M813" i="1"/>
  <c r="N813" i="1" s="1"/>
  <c r="M812" i="1"/>
  <c r="N812" i="1" s="1"/>
  <c r="M811" i="1"/>
  <c r="N811" i="1" s="1"/>
  <c r="M809" i="1"/>
  <c r="N809" i="1" s="1"/>
  <c r="M806" i="1"/>
  <c r="N806" i="1" s="1"/>
  <c r="M805" i="1"/>
  <c r="N805" i="1" s="1"/>
  <c r="M802" i="1"/>
  <c r="N802" i="1" s="1"/>
  <c r="M801" i="1"/>
  <c r="N801" i="1" s="1"/>
  <c r="M800" i="1"/>
  <c r="N800" i="1" s="1"/>
  <c r="M797" i="1"/>
  <c r="N797" i="1" s="1"/>
  <c r="M792" i="1"/>
  <c r="N792" i="1" s="1"/>
  <c r="M790" i="1"/>
  <c r="N790" i="1" s="1"/>
  <c r="M789" i="1"/>
  <c r="N789" i="1" s="1"/>
  <c r="M786" i="1"/>
  <c r="N786" i="1" s="1"/>
  <c r="M783" i="1"/>
  <c r="N783" i="1" s="1"/>
  <c r="M782" i="1"/>
  <c r="N782" i="1" s="1"/>
  <c r="M781" i="1"/>
  <c r="N781" i="1" s="1"/>
  <c r="M779" i="1"/>
  <c r="N779" i="1" s="1"/>
  <c r="M778" i="1"/>
  <c r="N778" i="1" s="1"/>
  <c r="M777" i="1"/>
  <c r="N777" i="1" s="1"/>
  <c r="M775" i="1"/>
  <c r="N775" i="1" s="1"/>
  <c r="M774" i="1"/>
  <c r="N774" i="1" s="1"/>
  <c r="M771" i="1"/>
  <c r="N771" i="1" s="1"/>
  <c r="M770" i="1"/>
  <c r="N770" i="1" s="1"/>
  <c r="M766" i="1"/>
  <c r="N766" i="1" s="1"/>
  <c r="M765" i="1"/>
  <c r="N765" i="1" s="1"/>
  <c r="M763" i="1"/>
  <c r="N763" i="1" s="1"/>
  <c r="M762" i="1"/>
  <c r="N762" i="1" s="1"/>
  <c r="M760" i="1"/>
  <c r="N760" i="1" s="1"/>
  <c r="M758" i="1"/>
  <c r="N758" i="1" s="1"/>
  <c r="M755" i="1"/>
  <c r="N755" i="1" s="1"/>
  <c r="M754" i="1"/>
  <c r="N754" i="1" s="1"/>
  <c r="M753" i="1"/>
  <c r="N753" i="1" s="1"/>
  <c r="M750" i="1"/>
  <c r="N750" i="1" s="1"/>
  <c r="M747" i="1"/>
  <c r="N747" i="1" s="1"/>
  <c r="M742" i="1"/>
  <c r="N742" i="1" s="1"/>
  <c r="M738" i="1"/>
  <c r="N738" i="1" s="1"/>
  <c r="M737" i="1"/>
  <c r="N737" i="1" s="1"/>
  <c r="M735" i="1"/>
  <c r="N735" i="1" s="1"/>
  <c r="M734" i="1"/>
  <c r="N734" i="1" s="1"/>
  <c r="M733" i="1"/>
  <c r="N733" i="1" s="1"/>
  <c r="M731" i="1"/>
  <c r="N731" i="1" s="1"/>
  <c r="M729" i="1"/>
  <c r="N729" i="1" s="1"/>
  <c r="M727" i="1"/>
  <c r="N727" i="1" s="1"/>
  <c r="M724" i="1"/>
  <c r="N724" i="1" s="1"/>
  <c r="M722" i="1"/>
  <c r="N722" i="1" s="1"/>
  <c r="M721" i="1"/>
  <c r="N721" i="1" s="1"/>
  <c r="M719" i="1"/>
  <c r="N719" i="1" s="1"/>
  <c r="M718" i="1"/>
  <c r="N718" i="1" s="1"/>
  <c r="M717" i="1"/>
  <c r="N717" i="1" s="1"/>
  <c r="M716" i="1"/>
  <c r="N716" i="1" s="1"/>
  <c r="M714" i="1"/>
  <c r="N714" i="1" s="1"/>
  <c r="M713" i="1"/>
  <c r="N713" i="1" s="1"/>
  <c r="M712" i="1"/>
  <c r="N712" i="1" s="1"/>
  <c r="M711" i="1"/>
  <c r="N711" i="1" s="1"/>
  <c r="M707" i="1"/>
  <c r="N707" i="1" s="1"/>
  <c r="M705" i="1"/>
  <c r="N705" i="1" s="1"/>
  <c r="M704" i="1"/>
  <c r="N704" i="1" s="1"/>
  <c r="M703" i="1"/>
  <c r="N703" i="1" s="1"/>
  <c r="M702" i="1"/>
  <c r="N702" i="1" s="1"/>
  <c r="M700" i="1"/>
  <c r="N700" i="1" s="1"/>
  <c r="M698" i="1"/>
  <c r="N698" i="1" s="1"/>
  <c r="M695" i="1"/>
  <c r="N695" i="1" s="1"/>
  <c r="M694" i="1"/>
  <c r="N694" i="1" s="1"/>
  <c r="M691" i="1"/>
  <c r="N691" i="1" s="1"/>
  <c r="M683" i="1"/>
  <c r="N683" i="1" s="1"/>
  <c r="M682" i="1"/>
  <c r="N682" i="1" s="1"/>
  <c r="M679" i="1"/>
  <c r="N679" i="1" s="1"/>
  <c r="M677" i="1"/>
  <c r="N677" i="1" s="1"/>
  <c r="M675" i="1"/>
  <c r="N675" i="1" s="1"/>
  <c r="M670" i="1"/>
  <c r="N670" i="1" s="1"/>
  <c r="M668" i="1"/>
  <c r="N668" i="1" s="1"/>
  <c r="M665" i="1"/>
  <c r="N665" i="1" s="1"/>
  <c r="M663" i="1"/>
  <c r="N663" i="1" s="1"/>
  <c r="M662" i="1"/>
  <c r="N662" i="1" s="1"/>
  <c r="M661" i="1"/>
  <c r="N661" i="1" s="1"/>
  <c r="M660" i="1"/>
  <c r="N660" i="1" s="1"/>
  <c r="M658" i="1"/>
  <c r="N658" i="1" s="1"/>
  <c r="M657" i="1"/>
  <c r="N657" i="1" s="1"/>
  <c r="M656" i="1"/>
  <c r="N656" i="1" s="1"/>
  <c r="M654" i="1"/>
  <c r="N654" i="1" s="1"/>
  <c r="M652" i="1"/>
  <c r="N652" i="1" s="1"/>
  <c r="M648" i="1"/>
  <c r="N648" i="1" s="1"/>
  <c r="M644" i="1"/>
  <c r="N644" i="1" s="1"/>
  <c r="M642" i="1"/>
  <c r="N642" i="1" s="1"/>
  <c r="M637" i="1"/>
  <c r="N637" i="1" s="1"/>
  <c r="M636" i="1"/>
  <c r="N636" i="1" s="1"/>
  <c r="M634" i="1"/>
  <c r="N634" i="1" s="1"/>
  <c r="M627" i="1"/>
  <c r="N627" i="1" s="1"/>
  <c r="M623" i="1"/>
  <c r="N623" i="1" s="1"/>
  <c r="M620" i="1"/>
  <c r="N620" i="1" s="1"/>
  <c r="M618" i="1"/>
  <c r="N618" i="1" s="1"/>
  <c r="M614" i="1"/>
  <c r="N614" i="1" s="1"/>
  <c r="M612" i="1"/>
  <c r="N612" i="1" s="1"/>
  <c r="M611" i="1"/>
  <c r="N611" i="1" s="1"/>
  <c r="M607" i="1"/>
  <c r="N607" i="1" s="1"/>
  <c r="M606" i="1"/>
  <c r="N606" i="1" s="1"/>
  <c r="M604" i="1"/>
  <c r="N604" i="1" s="1"/>
  <c r="M602" i="1"/>
  <c r="N602" i="1" s="1"/>
  <c r="M599" i="1"/>
  <c r="N599" i="1" s="1"/>
  <c r="M597" i="1"/>
  <c r="N597" i="1" s="1"/>
  <c r="M596" i="1"/>
  <c r="N596" i="1" s="1"/>
  <c r="M594" i="1"/>
  <c r="N594" i="1" s="1"/>
  <c r="M589" i="1"/>
  <c r="N589" i="1" s="1"/>
  <c r="M585" i="1"/>
  <c r="N585" i="1" s="1"/>
  <c r="M582" i="1"/>
  <c r="N582" i="1" s="1"/>
  <c r="M577" i="1"/>
  <c r="N577" i="1" s="1"/>
  <c r="M574" i="1"/>
  <c r="N574" i="1" s="1"/>
  <c r="M573" i="1"/>
  <c r="N573" i="1" s="1"/>
  <c r="M571" i="1"/>
  <c r="N571" i="1" s="1"/>
  <c r="M570" i="1"/>
  <c r="N570" i="1" s="1"/>
  <c r="M569" i="1"/>
  <c r="N569" i="1" s="1"/>
  <c r="M565" i="1"/>
  <c r="N565" i="1" s="1"/>
  <c r="M564" i="1"/>
  <c r="N564" i="1" s="1"/>
  <c r="M563" i="1"/>
  <c r="N563" i="1" s="1"/>
  <c r="M562" i="1"/>
  <c r="N562" i="1" s="1"/>
  <c r="M560" i="1"/>
  <c r="N560" i="1" s="1"/>
  <c r="M557" i="1"/>
  <c r="N557" i="1" s="1"/>
  <c r="M556" i="1"/>
  <c r="N556" i="1" s="1"/>
  <c r="M555" i="1"/>
  <c r="N555" i="1" s="1"/>
  <c r="M552" i="1"/>
  <c r="N552" i="1" s="1"/>
  <c r="M550" i="1"/>
  <c r="N550" i="1" s="1"/>
  <c r="M549" i="1"/>
  <c r="N549" i="1" s="1"/>
  <c r="M548" i="1"/>
  <c r="N548" i="1" s="1"/>
  <c r="M547" i="1"/>
  <c r="N547" i="1" s="1"/>
  <c r="M546" i="1"/>
  <c r="N546" i="1" s="1"/>
  <c r="M545" i="1"/>
  <c r="N545" i="1" s="1"/>
  <c r="M539" i="1"/>
  <c r="N539" i="1" s="1"/>
  <c r="M535" i="1"/>
  <c r="N535" i="1" s="1"/>
  <c r="M530" i="1"/>
  <c r="N530" i="1" s="1"/>
  <c r="M526" i="1"/>
  <c r="N526" i="1" s="1"/>
  <c r="M525" i="1"/>
  <c r="N525" i="1" s="1"/>
  <c r="M524" i="1"/>
  <c r="N524" i="1" s="1"/>
  <c r="M515" i="1"/>
  <c r="N515" i="1" s="1"/>
  <c r="M514" i="1"/>
  <c r="N514" i="1" s="1"/>
  <c r="M513" i="1"/>
  <c r="N513" i="1" s="1"/>
  <c r="M510" i="1"/>
  <c r="N510" i="1" s="1"/>
  <c r="M508" i="1"/>
  <c r="N508" i="1" s="1"/>
  <c r="M507" i="1"/>
  <c r="N507" i="1" s="1"/>
  <c r="M505" i="1"/>
  <c r="N505" i="1" s="1"/>
  <c r="M499" i="1"/>
  <c r="N499" i="1" s="1"/>
  <c r="M495" i="1"/>
  <c r="N495" i="1" s="1"/>
  <c r="M494" i="1"/>
  <c r="N494" i="1" s="1"/>
  <c r="M492" i="1"/>
  <c r="N492" i="1" s="1"/>
  <c r="M489" i="1"/>
  <c r="N489" i="1" s="1"/>
  <c r="M487" i="1"/>
  <c r="N487" i="1" s="1"/>
  <c r="M485" i="1"/>
  <c r="N485" i="1" s="1"/>
  <c r="M483" i="1"/>
  <c r="N483" i="1" s="1"/>
  <c r="M482" i="1"/>
  <c r="N482" i="1" s="1"/>
  <c r="M481" i="1"/>
  <c r="N481" i="1" s="1"/>
  <c r="M480" i="1"/>
  <c r="N480" i="1" s="1"/>
  <c r="M478" i="1"/>
  <c r="N478" i="1" s="1"/>
  <c r="M475" i="1"/>
  <c r="N475" i="1" s="1"/>
  <c r="M473" i="1"/>
  <c r="N473" i="1" s="1"/>
  <c r="M472" i="1"/>
  <c r="N472" i="1" s="1"/>
  <c r="M471" i="1"/>
  <c r="N471" i="1" s="1"/>
  <c r="M469" i="1"/>
  <c r="N469" i="1" s="1"/>
  <c r="M468" i="1"/>
  <c r="N468" i="1" s="1"/>
  <c r="M465" i="1"/>
  <c r="N465" i="1" s="1"/>
  <c r="M463" i="1"/>
  <c r="N463" i="1" s="1"/>
  <c r="M461" i="1"/>
  <c r="N461" i="1" s="1"/>
  <c r="M460" i="1"/>
  <c r="N460" i="1" s="1"/>
  <c r="M455" i="1"/>
  <c r="N455" i="1" s="1"/>
  <c r="M454" i="1"/>
  <c r="N454" i="1" s="1"/>
  <c r="M453" i="1"/>
  <c r="N453" i="1" s="1"/>
  <c r="M451" i="1"/>
  <c r="N451" i="1" s="1"/>
  <c r="M450" i="1"/>
  <c r="N450" i="1" s="1"/>
  <c r="M449" i="1"/>
  <c r="N449" i="1" s="1"/>
  <c r="M442" i="1"/>
  <c r="N442" i="1" s="1"/>
  <c r="M439" i="1"/>
  <c r="N439" i="1" s="1"/>
  <c r="M438" i="1"/>
  <c r="N438" i="1" s="1"/>
  <c r="M437" i="1"/>
  <c r="N437" i="1" s="1"/>
  <c r="M428" i="1"/>
  <c r="N428" i="1" s="1"/>
  <c r="M427" i="1"/>
  <c r="N427" i="1" s="1"/>
  <c r="M426" i="1"/>
  <c r="N426" i="1" s="1"/>
  <c r="M425" i="1"/>
  <c r="N425" i="1" s="1"/>
  <c r="M422" i="1"/>
  <c r="N422" i="1" s="1"/>
  <c r="M421" i="1"/>
  <c r="N421" i="1" s="1"/>
  <c r="M419" i="1"/>
  <c r="N419" i="1" s="1"/>
  <c r="M416" i="1"/>
  <c r="N416" i="1" s="1"/>
  <c r="M415" i="1"/>
  <c r="N415" i="1" s="1"/>
  <c r="M411" i="1"/>
  <c r="N411" i="1" s="1"/>
  <c r="M406" i="1"/>
  <c r="N406" i="1" s="1"/>
  <c r="M405" i="1"/>
  <c r="N405" i="1" s="1"/>
  <c r="M403" i="1"/>
  <c r="N403" i="1" s="1"/>
  <c r="M402" i="1"/>
  <c r="N402" i="1" s="1"/>
  <c r="M398" i="1"/>
  <c r="N398" i="1" s="1"/>
  <c r="M395" i="1"/>
  <c r="N395" i="1" s="1"/>
  <c r="M394" i="1"/>
  <c r="N394" i="1" s="1"/>
  <c r="M392" i="1"/>
  <c r="N392" i="1" s="1"/>
  <c r="M391" i="1"/>
  <c r="N391" i="1" s="1"/>
  <c r="M390" i="1"/>
  <c r="N390" i="1" s="1"/>
  <c r="M389" i="1"/>
  <c r="N389" i="1" s="1"/>
  <c r="M387" i="1"/>
  <c r="N387" i="1" s="1"/>
  <c r="M386" i="1"/>
  <c r="N386" i="1" s="1"/>
  <c r="M383" i="1"/>
  <c r="N383" i="1" s="1"/>
  <c r="M381" i="1"/>
  <c r="N381" i="1" s="1"/>
  <c r="M380" i="1"/>
  <c r="N380" i="1" s="1"/>
  <c r="M375" i="1"/>
  <c r="N375" i="1" s="1"/>
  <c r="M367" i="1"/>
  <c r="N367" i="1" s="1"/>
  <c r="M365" i="1"/>
  <c r="N365" i="1" s="1"/>
  <c r="M361" i="1"/>
  <c r="N361" i="1" s="1"/>
  <c r="M360" i="1"/>
  <c r="N360" i="1" s="1"/>
  <c r="M357" i="1"/>
  <c r="N357" i="1" s="1"/>
  <c r="M355" i="1"/>
  <c r="N355" i="1" s="1"/>
  <c r="M352" i="1"/>
  <c r="N352" i="1" s="1"/>
  <c r="M351" i="1"/>
  <c r="N351" i="1" s="1"/>
  <c r="M350" i="1"/>
  <c r="N350" i="1" s="1"/>
  <c r="M348" i="1"/>
  <c r="N348" i="1" s="1"/>
  <c r="M345" i="1"/>
  <c r="N345" i="1" s="1"/>
  <c r="M343" i="1"/>
  <c r="N343" i="1" s="1"/>
  <c r="M340" i="1"/>
  <c r="N340" i="1" s="1"/>
  <c r="M339" i="1"/>
  <c r="N339" i="1" s="1"/>
  <c r="M338" i="1"/>
  <c r="N338" i="1" s="1"/>
  <c r="M337" i="1"/>
  <c r="N337" i="1" s="1"/>
  <c r="M333" i="1"/>
  <c r="N333" i="1" s="1"/>
  <c r="M329" i="1"/>
  <c r="N329" i="1" s="1"/>
  <c r="M328" i="1"/>
  <c r="N328" i="1" s="1"/>
  <c r="M327" i="1"/>
  <c r="N327" i="1" s="1"/>
  <c r="M326" i="1"/>
  <c r="N326" i="1" s="1"/>
  <c r="M325" i="1"/>
  <c r="N325" i="1" s="1"/>
  <c r="M320" i="1"/>
  <c r="N320" i="1" s="1"/>
  <c r="M319" i="1"/>
  <c r="N319" i="1" s="1"/>
  <c r="M314" i="1"/>
  <c r="N314" i="1" s="1"/>
  <c r="M313" i="1"/>
  <c r="N313" i="1" s="1"/>
  <c r="M312" i="1"/>
  <c r="N312" i="1" s="1"/>
  <c r="M309" i="1"/>
  <c r="N309" i="1" s="1"/>
  <c r="M307" i="1"/>
  <c r="N307" i="1" s="1"/>
  <c r="M306" i="1"/>
  <c r="N306" i="1" s="1"/>
  <c r="M304" i="1"/>
  <c r="N304" i="1" s="1"/>
  <c r="M303" i="1"/>
  <c r="N303" i="1" s="1"/>
  <c r="M301" i="1"/>
  <c r="N301" i="1" s="1"/>
  <c r="M300" i="1"/>
  <c r="N300" i="1" s="1"/>
  <c r="M299" i="1"/>
  <c r="N299" i="1" s="1"/>
  <c r="M298" i="1"/>
  <c r="N298" i="1" s="1"/>
  <c r="M296" i="1"/>
  <c r="N296" i="1" s="1"/>
  <c r="M294" i="1"/>
  <c r="N294" i="1" s="1"/>
  <c r="M293" i="1"/>
  <c r="N293" i="1" s="1"/>
  <c r="M291" i="1"/>
  <c r="N291" i="1" s="1"/>
  <c r="M290" i="1"/>
  <c r="N290" i="1" s="1"/>
  <c r="M289" i="1"/>
  <c r="N289" i="1" s="1"/>
  <c r="M288" i="1"/>
  <c r="N288" i="1" s="1"/>
  <c r="M287" i="1"/>
  <c r="N287" i="1" s="1"/>
  <c r="M286" i="1"/>
  <c r="N286" i="1" s="1"/>
  <c r="M285" i="1"/>
  <c r="N285" i="1" s="1"/>
  <c r="M283" i="1"/>
  <c r="N283" i="1" s="1"/>
  <c r="M278" i="1"/>
  <c r="N278" i="1" s="1"/>
  <c r="M276" i="1"/>
  <c r="N276" i="1" s="1"/>
  <c r="M274" i="1"/>
  <c r="N274" i="1" s="1"/>
  <c r="M270" i="1"/>
  <c r="N270" i="1" s="1"/>
  <c r="M269" i="1"/>
  <c r="N269" i="1" s="1"/>
  <c r="M267" i="1"/>
  <c r="N267" i="1" s="1"/>
  <c r="M265" i="1"/>
  <c r="N265" i="1" s="1"/>
  <c r="M263" i="1"/>
  <c r="N263" i="1" s="1"/>
  <c r="M262" i="1"/>
  <c r="N262" i="1" s="1"/>
  <c r="M261" i="1"/>
  <c r="N261" i="1" s="1"/>
  <c r="M259" i="1"/>
  <c r="N259" i="1" s="1"/>
  <c r="M256" i="1"/>
  <c r="N256" i="1" s="1"/>
  <c r="M255" i="1"/>
  <c r="N255" i="1" s="1"/>
  <c r="M254" i="1"/>
  <c r="N254" i="1" s="1"/>
  <c r="M253" i="1"/>
  <c r="N253" i="1" s="1"/>
  <c r="M251" i="1"/>
  <c r="N251" i="1" s="1"/>
  <c r="M250" i="1"/>
  <c r="N250" i="1" s="1"/>
  <c r="M248" i="1"/>
  <c r="N248" i="1" s="1"/>
  <c r="M247" i="1"/>
  <c r="N247" i="1" s="1"/>
  <c r="M246" i="1"/>
  <c r="N246" i="1" s="1"/>
  <c r="M244" i="1"/>
  <c r="N244" i="1" s="1"/>
  <c r="M243" i="1"/>
  <c r="N243" i="1" s="1"/>
  <c r="M239" i="1"/>
  <c r="N239" i="1" s="1"/>
  <c r="M238" i="1"/>
  <c r="N238" i="1" s="1"/>
  <c r="M237" i="1"/>
  <c r="N237" i="1" s="1"/>
  <c r="M236" i="1"/>
  <c r="N236" i="1" s="1"/>
  <c r="M234" i="1"/>
  <c r="N234" i="1" s="1"/>
  <c r="M231" i="1"/>
  <c r="N231" i="1" s="1"/>
  <c r="M230" i="1"/>
  <c r="N230" i="1" s="1"/>
  <c r="M226" i="1"/>
  <c r="N226" i="1" s="1"/>
  <c r="M225" i="1"/>
  <c r="N225" i="1" s="1"/>
  <c r="M223" i="1"/>
  <c r="N223" i="1" s="1"/>
  <c r="M222" i="1"/>
  <c r="N222" i="1" s="1"/>
  <c r="M216" i="1"/>
  <c r="N216" i="1" s="1"/>
  <c r="M211" i="1"/>
  <c r="N211" i="1" s="1"/>
  <c r="M209" i="1"/>
  <c r="N209" i="1" s="1"/>
  <c r="M208" i="1"/>
  <c r="N208" i="1" s="1"/>
  <c r="M207" i="1"/>
  <c r="N207" i="1" s="1"/>
  <c r="M205" i="1"/>
  <c r="N205" i="1" s="1"/>
  <c r="M203" i="1"/>
  <c r="N203" i="1" s="1"/>
  <c r="M202" i="1"/>
  <c r="N202" i="1" s="1"/>
  <c r="M201" i="1"/>
  <c r="N201" i="1" s="1"/>
  <c r="M199" i="1"/>
  <c r="N199" i="1" s="1"/>
  <c r="M193" i="1"/>
  <c r="N193" i="1" s="1"/>
  <c r="M192" i="1"/>
  <c r="N192" i="1" s="1"/>
  <c r="M189" i="1"/>
  <c r="N189" i="1" s="1"/>
  <c r="M187" i="1"/>
  <c r="N187" i="1" s="1"/>
  <c r="M186" i="1"/>
  <c r="N186" i="1" s="1"/>
  <c r="M184" i="1"/>
  <c r="N184" i="1" s="1"/>
  <c r="M182" i="1"/>
  <c r="N182" i="1" s="1"/>
  <c r="M178" i="1"/>
  <c r="N178" i="1" s="1"/>
  <c r="M177" i="1"/>
  <c r="N177" i="1" s="1"/>
  <c r="M176" i="1"/>
  <c r="N176" i="1" s="1"/>
  <c r="M173" i="1"/>
  <c r="N173" i="1" s="1"/>
  <c r="M172" i="1"/>
  <c r="N172" i="1" s="1"/>
  <c r="M171" i="1"/>
  <c r="N171" i="1" s="1"/>
  <c r="M170" i="1"/>
  <c r="N170" i="1" s="1"/>
  <c r="M169" i="1"/>
  <c r="N169" i="1" s="1"/>
  <c r="M168" i="1"/>
  <c r="N168" i="1" s="1"/>
  <c r="M166" i="1"/>
  <c r="N166" i="1" s="1"/>
  <c r="M162" i="1"/>
  <c r="N162" i="1" s="1"/>
  <c r="M161" i="1"/>
  <c r="N161" i="1" s="1"/>
  <c r="M159" i="1"/>
  <c r="N159" i="1" s="1"/>
  <c r="M157" i="1"/>
  <c r="N157" i="1" s="1"/>
  <c r="M154" i="1"/>
  <c r="N154" i="1" s="1"/>
  <c r="M153" i="1"/>
  <c r="N153" i="1" s="1"/>
  <c r="M150" i="1"/>
  <c r="N150" i="1" s="1"/>
  <c r="M149" i="1"/>
  <c r="N149" i="1" s="1"/>
  <c r="M144" i="1"/>
  <c r="N144" i="1" s="1"/>
  <c r="M142" i="1"/>
  <c r="N142" i="1" s="1"/>
  <c r="M141" i="1"/>
  <c r="N141" i="1" s="1"/>
  <c r="M140" i="1"/>
  <c r="N140" i="1" s="1"/>
  <c r="M137" i="1"/>
  <c r="N137" i="1" s="1"/>
  <c r="M134" i="1"/>
  <c r="N134" i="1" s="1"/>
  <c r="M133" i="1"/>
  <c r="N133" i="1" s="1"/>
  <c r="M131" i="1"/>
  <c r="N131" i="1" s="1"/>
  <c r="M130" i="1"/>
  <c r="N130" i="1" s="1"/>
  <c r="M129" i="1"/>
  <c r="N129" i="1" s="1"/>
  <c r="M122" i="1"/>
  <c r="N122" i="1" s="1"/>
  <c r="M121" i="1"/>
  <c r="N121" i="1" s="1"/>
  <c r="M120" i="1"/>
  <c r="N120" i="1" s="1"/>
  <c r="M112" i="1"/>
  <c r="N112" i="1" s="1"/>
  <c r="M110" i="1"/>
  <c r="N110" i="1" s="1"/>
  <c r="M109" i="1"/>
  <c r="N109" i="1" s="1"/>
  <c r="M104" i="1"/>
  <c r="N104" i="1" s="1"/>
  <c r="M101" i="1"/>
  <c r="N101" i="1" s="1"/>
  <c r="M99" i="1"/>
  <c r="N99" i="1" s="1"/>
  <c r="M98" i="1"/>
  <c r="N98" i="1" s="1"/>
  <c r="M97" i="1"/>
  <c r="N97" i="1" s="1"/>
  <c r="M96" i="1"/>
  <c r="N96" i="1" s="1"/>
  <c r="M93" i="1"/>
  <c r="N93" i="1" s="1"/>
  <c r="M90" i="1"/>
  <c r="N90" i="1" s="1"/>
  <c r="M89" i="1"/>
  <c r="N89" i="1" s="1"/>
  <c r="M87" i="1"/>
  <c r="N87" i="1" s="1"/>
  <c r="M84" i="1"/>
  <c r="N84" i="1" s="1"/>
  <c r="M82" i="1"/>
  <c r="N82" i="1" s="1"/>
  <c r="M77" i="1"/>
  <c r="N77" i="1" s="1"/>
  <c r="M70" i="1"/>
  <c r="N70" i="1" s="1"/>
  <c r="M67" i="1"/>
  <c r="N67" i="1" s="1"/>
  <c r="M63" i="1"/>
  <c r="N63" i="1" s="1"/>
  <c r="M61" i="1"/>
  <c r="N61" i="1" s="1"/>
  <c r="M60" i="1"/>
  <c r="N60" i="1" s="1"/>
  <c r="M58" i="1"/>
  <c r="N58" i="1" s="1"/>
  <c r="M56" i="1"/>
  <c r="N56" i="1" s="1"/>
  <c r="M55" i="1"/>
  <c r="N55" i="1" s="1"/>
  <c r="M54" i="1"/>
  <c r="N54" i="1" s="1"/>
  <c r="M53" i="1"/>
  <c r="N53" i="1" s="1"/>
  <c r="M52" i="1"/>
  <c r="N52" i="1" s="1"/>
  <c r="M51" i="1"/>
  <c r="N51" i="1" s="1"/>
  <c r="M50" i="1"/>
  <c r="N50" i="1" s="1"/>
  <c r="M49" i="1"/>
  <c r="N49" i="1" s="1"/>
  <c r="M46" i="1"/>
  <c r="N46" i="1" s="1"/>
  <c r="M45" i="1"/>
  <c r="N45" i="1" s="1"/>
  <c r="M43" i="1"/>
  <c r="N43" i="1" s="1"/>
  <c r="M40" i="1"/>
  <c r="N40" i="1" s="1"/>
  <c r="M39" i="1"/>
  <c r="N39" i="1" s="1"/>
  <c r="M38" i="1"/>
  <c r="N38" i="1" s="1"/>
  <c r="M36" i="1"/>
  <c r="N36" i="1" s="1"/>
  <c r="M35" i="1"/>
  <c r="N35" i="1" s="1"/>
  <c r="M34" i="1"/>
  <c r="N34" i="1" s="1"/>
  <c r="M30" i="1"/>
  <c r="N30" i="1" s="1"/>
  <c r="M26" i="1"/>
  <c r="N26" i="1" s="1"/>
  <c r="M22" i="1"/>
  <c r="N22" i="1" s="1"/>
  <c r="M16" i="1"/>
  <c r="N16" i="1" s="1"/>
  <c r="M12" i="1"/>
  <c r="N12" i="1" s="1"/>
  <c r="M6" i="1"/>
  <c r="N6" i="1" s="1"/>
  <c r="M4" i="1"/>
  <c r="N4" i="1" s="1"/>
  <c r="M2" i="1"/>
  <c r="N2" i="1" s="1"/>
  <c r="M998" i="1"/>
  <c r="N998" i="1" s="1"/>
  <c r="M993" i="1"/>
  <c r="N993" i="1" s="1"/>
  <c r="M989" i="1"/>
  <c r="N989" i="1" s="1"/>
  <c r="M974" i="1"/>
  <c r="N974" i="1" s="1"/>
  <c r="M972" i="1"/>
  <c r="N972" i="1" s="1"/>
  <c r="M962" i="1"/>
  <c r="N962" i="1" s="1"/>
  <c r="M958" i="1"/>
  <c r="N958" i="1" s="1"/>
  <c r="M957" i="1"/>
  <c r="N957" i="1" s="1"/>
  <c r="M950" i="1"/>
  <c r="N950" i="1" s="1"/>
  <c r="M946" i="1"/>
  <c r="N946" i="1" s="1"/>
  <c r="M940" i="1"/>
  <c r="N940" i="1" s="1"/>
  <c r="M937" i="1"/>
  <c r="N937" i="1" s="1"/>
  <c r="M933" i="1"/>
  <c r="N933" i="1" s="1"/>
  <c r="M928" i="1"/>
  <c r="N928" i="1" s="1"/>
  <c r="M917" i="1"/>
  <c r="N917" i="1" s="1"/>
  <c r="M916" i="1"/>
  <c r="N916" i="1" s="1"/>
  <c r="M915" i="1"/>
  <c r="N915" i="1" s="1"/>
  <c r="M909" i="1"/>
  <c r="N909" i="1" s="1"/>
  <c r="M905" i="1"/>
  <c r="N905" i="1" s="1"/>
  <c r="M904" i="1"/>
  <c r="N904" i="1" s="1"/>
  <c r="M893" i="1"/>
  <c r="N893" i="1" s="1"/>
  <c r="M892" i="1"/>
  <c r="N892" i="1" s="1"/>
  <c r="M884" i="1"/>
  <c r="N884" i="1" s="1"/>
  <c r="M883" i="1"/>
  <c r="N883" i="1" s="1"/>
  <c r="M876" i="1"/>
  <c r="N876" i="1" s="1"/>
  <c r="M868" i="1"/>
  <c r="N868" i="1" s="1"/>
  <c r="M859" i="1"/>
  <c r="N859" i="1" s="1"/>
  <c r="M858" i="1"/>
  <c r="N858" i="1" s="1"/>
  <c r="M856" i="1"/>
  <c r="N856" i="1" s="1"/>
  <c r="M850" i="1"/>
  <c r="N850" i="1" s="1"/>
  <c r="M847" i="1"/>
  <c r="N847" i="1" s="1"/>
  <c r="M844" i="1"/>
  <c r="N844" i="1" s="1"/>
  <c r="M843" i="1"/>
  <c r="N843" i="1" s="1"/>
  <c r="M840" i="1"/>
  <c r="N840" i="1" s="1"/>
  <c r="M838" i="1"/>
  <c r="N838" i="1" s="1"/>
  <c r="M837" i="1"/>
  <c r="N837" i="1" s="1"/>
  <c r="M826" i="1"/>
  <c r="N826" i="1" s="1"/>
  <c r="M820" i="1"/>
  <c r="N820" i="1" s="1"/>
  <c r="M818" i="1"/>
  <c r="N818" i="1" s="1"/>
  <c r="M807" i="1"/>
  <c r="N807" i="1" s="1"/>
  <c r="M804" i="1"/>
  <c r="N804" i="1" s="1"/>
  <c r="M803" i="1"/>
  <c r="N803" i="1" s="1"/>
  <c r="M796" i="1"/>
  <c r="N796" i="1" s="1"/>
  <c r="M785" i="1"/>
  <c r="N785" i="1" s="1"/>
  <c r="M780" i="1"/>
  <c r="N780" i="1" s="1"/>
  <c r="M776" i="1"/>
  <c r="N776" i="1" s="1"/>
  <c r="M773" i="1"/>
  <c r="N773" i="1" s="1"/>
  <c r="M772" i="1"/>
  <c r="N772" i="1" s="1"/>
  <c r="M769" i="1"/>
  <c r="N769" i="1" s="1"/>
  <c r="M768" i="1"/>
  <c r="N768" i="1" s="1"/>
  <c r="M761" i="1"/>
  <c r="N761" i="1" s="1"/>
  <c r="M759" i="1"/>
  <c r="N759" i="1" s="1"/>
  <c r="M757" i="1"/>
  <c r="N757" i="1" s="1"/>
  <c r="M752" i="1"/>
  <c r="N752" i="1" s="1"/>
  <c r="M751" i="1"/>
  <c r="N751" i="1" s="1"/>
  <c r="M749" i="1"/>
  <c r="N749" i="1" s="1"/>
  <c r="M746" i="1"/>
  <c r="N746" i="1" s="1"/>
  <c r="M745" i="1"/>
  <c r="N745" i="1" s="1"/>
  <c r="M744" i="1"/>
  <c r="N744" i="1" s="1"/>
  <c r="M739" i="1"/>
  <c r="N739" i="1" s="1"/>
  <c r="M736" i="1"/>
  <c r="N736" i="1" s="1"/>
  <c r="M732" i="1"/>
  <c r="N732" i="1" s="1"/>
  <c r="M728" i="1"/>
  <c r="N728" i="1" s="1"/>
  <c r="M725" i="1"/>
  <c r="N725" i="1" s="1"/>
  <c r="M723" i="1"/>
  <c r="N723" i="1" s="1"/>
  <c r="M709" i="1"/>
  <c r="N709" i="1" s="1"/>
  <c r="M706" i="1"/>
  <c r="N706" i="1" s="1"/>
  <c r="M701" i="1"/>
  <c r="N701" i="1" s="1"/>
  <c r="M697" i="1"/>
  <c r="N697" i="1" s="1"/>
  <c r="M693" i="1"/>
  <c r="N693" i="1" s="1"/>
  <c r="M692" i="1"/>
  <c r="N692" i="1" s="1"/>
  <c r="M689" i="1"/>
  <c r="N689" i="1" s="1"/>
  <c r="M688" i="1"/>
  <c r="N688" i="1" s="1"/>
  <c r="M687" i="1"/>
  <c r="N687" i="1" s="1"/>
  <c r="M685" i="1"/>
  <c r="N685" i="1" s="1"/>
  <c r="M684" i="1"/>
  <c r="N684" i="1" s="1"/>
  <c r="M671" i="1"/>
  <c r="N671" i="1" s="1"/>
  <c r="M667" i="1"/>
  <c r="N667" i="1" s="1"/>
  <c r="M664" i="1"/>
  <c r="N664" i="1" s="1"/>
  <c r="M659" i="1"/>
  <c r="N659" i="1" s="1"/>
  <c r="M653" i="1"/>
  <c r="N653" i="1" s="1"/>
  <c r="M645" i="1"/>
  <c r="N645" i="1" s="1"/>
  <c r="M643" i="1"/>
  <c r="N643" i="1" s="1"/>
  <c r="M640" i="1"/>
  <c r="N640" i="1" s="1"/>
  <c r="M630" i="1"/>
  <c r="N630" i="1" s="1"/>
  <c r="M629" i="1"/>
  <c r="N629" i="1" s="1"/>
  <c r="M626" i="1"/>
  <c r="N626" i="1" s="1"/>
  <c r="M625" i="1"/>
  <c r="N625" i="1" s="1"/>
  <c r="M619" i="1"/>
  <c r="N619" i="1" s="1"/>
  <c r="M617" i="1"/>
  <c r="N617" i="1" s="1"/>
  <c r="M616" i="1"/>
  <c r="N616" i="1" s="1"/>
  <c r="M613" i="1"/>
  <c r="N613" i="1" s="1"/>
  <c r="M610" i="1"/>
  <c r="N610" i="1" s="1"/>
  <c r="M603" i="1"/>
  <c r="N603" i="1" s="1"/>
  <c r="M598" i="1"/>
  <c r="N598" i="1" s="1"/>
  <c r="M595" i="1"/>
  <c r="N595" i="1" s="1"/>
  <c r="M592" i="1"/>
  <c r="N592" i="1" s="1"/>
  <c r="M591" i="1"/>
  <c r="N591" i="1" s="1"/>
  <c r="M587" i="1"/>
  <c r="N587" i="1" s="1"/>
  <c r="M586" i="1"/>
  <c r="N586" i="1" s="1"/>
  <c r="M584" i="1"/>
  <c r="N584" i="1" s="1"/>
  <c r="M583" i="1"/>
  <c r="N583" i="1" s="1"/>
  <c r="M579" i="1"/>
  <c r="N579" i="1" s="1"/>
  <c r="M578" i="1"/>
  <c r="N578" i="1" s="1"/>
  <c r="M561" i="1"/>
  <c r="N561" i="1" s="1"/>
  <c r="M558" i="1"/>
  <c r="N558" i="1" s="1"/>
  <c r="M551" i="1"/>
  <c r="N551" i="1" s="1"/>
  <c r="M543" i="1"/>
  <c r="N543" i="1" s="1"/>
  <c r="M541" i="1"/>
  <c r="N541" i="1" s="1"/>
  <c r="M533" i="1"/>
  <c r="N533" i="1" s="1"/>
  <c r="M528" i="1"/>
  <c r="N528" i="1" s="1"/>
  <c r="M523" i="1"/>
  <c r="N523" i="1" s="1"/>
  <c r="M521" i="1"/>
  <c r="N521" i="1" s="1"/>
  <c r="M520" i="1"/>
  <c r="N520" i="1" s="1"/>
  <c r="M518" i="1"/>
  <c r="N518" i="1" s="1"/>
  <c r="M516" i="1"/>
  <c r="N516" i="1" s="1"/>
  <c r="M511" i="1"/>
  <c r="N511" i="1" s="1"/>
  <c r="M509" i="1"/>
  <c r="N509" i="1" s="1"/>
  <c r="M506" i="1"/>
  <c r="N506" i="1" s="1"/>
  <c r="M504" i="1"/>
  <c r="N504" i="1" s="1"/>
  <c r="M502" i="1"/>
  <c r="N502" i="1" s="1"/>
  <c r="M500" i="1"/>
  <c r="N500" i="1" s="1"/>
  <c r="M490" i="1"/>
  <c r="N490" i="1" s="1"/>
  <c r="M479" i="1"/>
  <c r="N479" i="1" s="1"/>
  <c r="M470" i="1"/>
  <c r="N470" i="1" s="1"/>
  <c r="M467" i="1"/>
  <c r="N467" i="1" s="1"/>
  <c r="M448" i="1"/>
  <c r="N448" i="1" s="1"/>
  <c r="M443" i="1"/>
  <c r="N443" i="1" s="1"/>
  <c r="M441" i="1"/>
  <c r="N441" i="1" s="1"/>
  <c r="M436" i="1"/>
  <c r="N436" i="1" s="1"/>
  <c r="M435" i="1"/>
  <c r="N435" i="1" s="1"/>
  <c r="M433" i="1"/>
  <c r="N433" i="1" s="1"/>
  <c r="M420" i="1"/>
  <c r="N420" i="1" s="1"/>
  <c r="M410" i="1"/>
  <c r="N410" i="1" s="1"/>
  <c r="M409" i="1"/>
  <c r="N409" i="1" s="1"/>
  <c r="M401" i="1"/>
  <c r="N401" i="1" s="1"/>
  <c r="M385" i="1"/>
  <c r="N385" i="1" s="1"/>
  <c r="M379" i="1"/>
  <c r="N379" i="1" s="1"/>
  <c r="M373" i="1"/>
  <c r="N373" i="1" s="1"/>
  <c r="M372" i="1"/>
  <c r="N372" i="1" s="1"/>
  <c r="M368" i="1"/>
  <c r="N368" i="1" s="1"/>
  <c r="M363" i="1"/>
  <c r="N363" i="1" s="1"/>
  <c r="M362" i="1"/>
  <c r="N362" i="1" s="1"/>
  <c r="M356" i="1"/>
  <c r="N356" i="1" s="1"/>
  <c r="M349" i="1"/>
  <c r="N349" i="1" s="1"/>
  <c r="M347" i="1"/>
  <c r="N347" i="1" s="1"/>
  <c r="M344" i="1"/>
  <c r="N344" i="1" s="1"/>
  <c r="M342" i="1"/>
  <c r="N342" i="1" s="1"/>
  <c r="M341" i="1"/>
  <c r="N341" i="1" s="1"/>
  <c r="M336" i="1"/>
  <c r="N336" i="1" s="1"/>
  <c r="M335" i="1"/>
  <c r="N335" i="1" s="1"/>
  <c r="M331" i="1"/>
  <c r="N331" i="1" s="1"/>
  <c r="M321" i="1"/>
  <c r="N321" i="1" s="1"/>
  <c r="M317" i="1"/>
  <c r="N317" i="1" s="1"/>
  <c r="M316" i="1"/>
  <c r="N316" i="1" s="1"/>
  <c r="M311" i="1"/>
  <c r="N311" i="1" s="1"/>
  <c r="M310" i="1"/>
  <c r="N310" i="1" s="1"/>
  <c r="M305" i="1"/>
  <c r="N305" i="1" s="1"/>
  <c r="M284" i="1"/>
  <c r="N284" i="1" s="1"/>
  <c r="M281" i="1"/>
  <c r="N281" i="1" s="1"/>
  <c r="M277" i="1"/>
  <c r="N277" i="1" s="1"/>
  <c r="M275" i="1"/>
  <c r="N275" i="1" s="1"/>
  <c r="M273" i="1"/>
  <c r="N273" i="1" s="1"/>
  <c r="M260" i="1"/>
  <c r="N260" i="1" s="1"/>
  <c r="M252" i="1"/>
  <c r="N252" i="1" s="1"/>
  <c r="M241" i="1"/>
  <c r="N241" i="1" s="1"/>
  <c r="M240" i="1"/>
  <c r="N240" i="1" s="1"/>
  <c r="M228" i="1"/>
  <c r="N228" i="1" s="1"/>
  <c r="M224" i="1"/>
  <c r="N224" i="1" s="1"/>
  <c r="M219" i="1"/>
  <c r="N219" i="1" s="1"/>
  <c r="M212" i="1"/>
  <c r="N212" i="1" s="1"/>
  <c r="M204" i="1"/>
  <c r="N204" i="1" s="1"/>
  <c r="M196" i="1"/>
  <c r="N196" i="1" s="1"/>
  <c r="M190" i="1"/>
  <c r="N190" i="1" s="1"/>
  <c r="M180" i="1"/>
  <c r="N180" i="1" s="1"/>
  <c r="M175" i="1"/>
  <c r="N175" i="1" s="1"/>
  <c r="M174" i="1"/>
  <c r="N174" i="1" s="1"/>
  <c r="M167" i="1"/>
  <c r="N167" i="1" s="1"/>
  <c r="M165" i="1"/>
  <c r="N165" i="1" s="1"/>
  <c r="M164" i="1"/>
  <c r="N164" i="1" s="1"/>
  <c r="M152" i="1"/>
  <c r="N152" i="1" s="1"/>
  <c r="M146" i="1"/>
  <c r="N146" i="1" s="1"/>
  <c r="M143" i="1"/>
  <c r="N143" i="1" s="1"/>
  <c r="M139" i="1"/>
  <c r="N139" i="1" s="1"/>
  <c r="M138" i="1"/>
  <c r="N138" i="1" s="1"/>
  <c r="M132" i="1"/>
  <c r="N132" i="1" s="1"/>
  <c r="M124" i="1"/>
  <c r="N124" i="1" s="1"/>
  <c r="M119" i="1"/>
  <c r="N119" i="1" s="1"/>
  <c r="M118" i="1"/>
  <c r="N118" i="1" s="1"/>
  <c r="M116" i="1"/>
  <c r="N116" i="1" s="1"/>
  <c r="M114" i="1"/>
  <c r="N114" i="1" s="1"/>
  <c r="M113" i="1"/>
  <c r="N113" i="1" s="1"/>
  <c r="M95" i="1"/>
  <c r="N95" i="1" s="1"/>
  <c r="M94" i="1"/>
  <c r="N94" i="1" s="1"/>
  <c r="M92" i="1"/>
  <c r="N92" i="1" s="1"/>
  <c r="M83" i="1"/>
  <c r="N83" i="1" s="1"/>
  <c r="M79" i="1"/>
  <c r="N79" i="1" s="1"/>
  <c r="M78" i="1"/>
  <c r="N78" i="1" s="1"/>
  <c r="M73" i="1"/>
  <c r="N73" i="1" s="1"/>
  <c r="M68" i="1"/>
  <c r="N68" i="1" s="1"/>
  <c r="M65" i="1"/>
  <c r="N65" i="1" s="1"/>
  <c r="M59" i="1"/>
  <c r="N59" i="1" s="1"/>
  <c r="M48" i="1"/>
  <c r="N48" i="1" s="1"/>
  <c r="M42" i="1"/>
  <c r="N42" i="1" s="1"/>
  <c r="M33" i="1"/>
  <c r="N33" i="1" s="1"/>
  <c r="M31" i="1"/>
  <c r="N31" i="1" s="1"/>
  <c r="M27" i="1"/>
  <c r="N27" i="1" s="1"/>
  <c r="M24" i="1"/>
  <c r="N24" i="1" s="1"/>
  <c r="M21" i="1"/>
  <c r="N21" i="1" s="1"/>
  <c r="M20" i="1"/>
  <c r="N20" i="1" s="1"/>
  <c r="M15" i="1"/>
  <c r="N15" i="1" s="1"/>
  <c r="M9" i="1"/>
  <c r="N9" i="1" s="1"/>
  <c r="M8" i="1"/>
  <c r="N8" i="1" s="1"/>
  <c r="M3" i="1"/>
  <c r="N3" i="1" s="1"/>
  <c r="M1001" i="1"/>
  <c r="N1001" i="1" s="1"/>
  <c r="M994" i="1"/>
  <c r="N994" i="1" s="1"/>
  <c r="M990" i="1"/>
  <c r="N990" i="1" s="1"/>
  <c r="M985" i="1"/>
  <c r="N985" i="1" s="1"/>
  <c r="M984" i="1"/>
  <c r="N984" i="1" s="1"/>
  <c r="M982" i="1"/>
  <c r="N982" i="1" s="1"/>
  <c r="M980" i="1"/>
  <c r="N980" i="1" s="1"/>
  <c r="M973" i="1"/>
  <c r="N973" i="1" s="1"/>
  <c r="M967" i="1"/>
  <c r="N967" i="1" s="1"/>
  <c r="M965" i="1"/>
  <c r="N965" i="1" s="1"/>
  <c r="M963" i="1"/>
  <c r="N963" i="1" s="1"/>
  <c r="M959" i="1"/>
  <c r="N959" i="1" s="1"/>
  <c r="M956" i="1"/>
  <c r="N956" i="1" s="1"/>
  <c r="M954" i="1"/>
  <c r="N954" i="1" s="1"/>
  <c r="M951" i="1"/>
  <c r="N951" i="1" s="1"/>
  <c r="M942" i="1"/>
  <c r="N942" i="1" s="1"/>
  <c r="M930" i="1"/>
  <c r="N930" i="1" s="1"/>
  <c r="M929" i="1"/>
  <c r="N929" i="1" s="1"/>
  <c r="M923" i="1"/>
  <c r="N923" i="1" s="1"/>
  <c r="M914" i="1"/>
  <c r="N914" i="1" s="1"/>
  <c r="M912" i="1"/>
  <c r="N912" i="1" s="1"/>
  <c r="M910" i="1"/>
  <c r="N910" i="1" s="1"/>
  <c r="M908" i="1"/>
  <c r="N908" i="1" s="1"/>
  <c r="M899" i="1"/>
  <c r="N899" i="1" s="1"/>
  <c r="M897" i="1"/>
  <c r="N897" i="1" s="1"/>
  <c r="M891" i="1"/>
  <c r="N891" i="1" s="1"/>
  <c r="M889" i="1"/>
  <c r="N889" i="1" s="1"/>
  <c r="M887" i="1"/>
  <c r="N887" i="1" s="1"/>
  <c r="M886" i="1"/>
  <c r="N886" i="1" s="1"/>
  <c r="M874" i="1"/>
  <c r="N874" i="1" s="1"/>
  <c r="M873" i="1"/>
  <c r="N873" i="1" s="1"/>
  <c r="M872" i="1"/>
  <c r="N872" i="1" s="1"/>
  <c r="M870" i="1"/>
  <c r="N870" i="1" s="1"/>
  <c r="M867" i="1"/>
  <c r="N867" i="1" s="1"/>
  <c r="M861" i="1"/>
  <c r="N861" i="1" s="1"/>
  <c r="M855" i="1"/>
  <c r="N855" i="1" s="1"/>
  <c r="M854" i="1"/>
  <c r="N854" i="1" s="1"/>
  <c r="M853" i="1"/>
  <c r="N853" i="1" s="1"/>
  <c r="M846" i="1"/>
  <c r="N846" i="1" s="1"/>
  <c r="M839" i="1"/>
  <c r="N839" i="1" s="1"/>
  <c r="M834" i="1"/>
  <c r="N834" i="1" s="1"/>
  <c r="M830" i="1"/>
  <c r="N830" i="1" s="1"/>
  <c r="M827" i="1"/>
  <c r="N827" i="1" s="1"/>
  <c r="M823" i="1"/>
  <c r="N823" i="1" s="1"/>
  <c r="M816" i="1"/>
  <c r="N816" i="1" s="1"/>
  <c r="M814" i="1"/>
  <c r="N814" i="1" s="1"/>
  <c r="M810" i="1"/>
  <c r="N810" i="1" s="1"/>
  <c r="M808" i="1"/>
  <c r="N808" i="1" s="1"/>
  <c r="M795" i="1"/>
  <c r="N795" i="1" s="1"/>
  <c r="M788" i="1"/>
  <c r="N788" i="1" s="1"/>
  <c r="M784" i="1"/>
  <c r="N784" i="1" s="1"/>
  <c r="M767" i="1"/>
  <c r="N767" i="1" s="1"/>
  <c r="M748" i="1"/>
  <c r="N748" i="1" s="1"/>
  <c r="M743" i="1"/>
  <c r="N743" i="1" s="1"/>
  <c r="M730" i="1"/>
  <c r="N730" i="1" s="1"/>
  <c r="M726" i="1"/>
  <c r="N726" i="1" s="1"/>
  <c r="M720" i="1"/>
  <c r="N720" i="1" s="1"/>
  <c r="M715" i="1"/>
  <c r="N715" i="1" s="1"/>
  <c r="M710" i="1"/>
  <c r="N710" i="1" s="1"/>
  <c r="M708" i="1"/>
  <c r="N708" i="1" s="1"/>
  <c r="M686" i="1"/>
  <c r="N686" i="1" s="1"/>
  <c r="M681" i="1"/>
  <c r="N681" i="1" s="1"/>
  <c r="M678" i="1"/>
  <c r="N678" i="1" s="1"/>
  <c r="M676" i="1"/>
  <c r="N676" i="1" s="1"/>
  <c r="M673" i="1"/>
  <c r="N673" i="1" s="1"/>
  <c r="M666" i="1"/>
  <c r="N666" i="1" s="1"/>
  <c r="M655" i="1"/>
  <c r="N655" i="1" s="1"/>
  <c r="M651" i="1"/>
  <c r="N651" i="1" s="1"/>
  <c r="M649" i="1"/>
  <c r="N649" i="1" s="1"/>
  <c r="M647" i="1"/>
  <c r="N647" i="1" s="1"/>
  <c r="M646" i="1"/>
  <c r="N646" i="1" s="1"/>
  <c r="M641" i="1"/>
  <c r="N641" i="1" s="1"/>
  <c r="M639" i="1"/>
  <c r="N639" i="1" s="1"/>
  <c r="M638" i="1"/>
  <c r="N638" i="1" s="1"/>
  <c r="M633" i="1"/>
  <c r="N633" i="1" s="1"/>
  <c r="M632" i="1"/>
  <c r="N632" i="1" s="1"/>
  <c r="M631" i="1"/>
  <c r="N631" i="1" s="1"/>
  <c r="M628" i="1"/>
  <c r="N628" i="1" s="1"/>
  <c r="M622" i="1"/>
  <c r="N622" i="1" s="1"/>
  <c r="M621" i="1"/>
  <c r="N621" i="1" s="1"/>
  <c r="M609" i="1"/>
  <c r="N609" i="1" s="1"/>
  <c r="M605" i="1"/>
  <c r="N605" i="1" s="1"/>
  <c r="M600" i="1"/>
  <c r="N600" i="1" s="1"/>
  <c r="M593" i="1"/>
  <c r="N593" i="1" s="1"/>
  <c r="M590" i="1"/>
  <c r="N590" i="1" s="1"/>
  <c r="M588" i="1"/>
  <c r="N588" i="1" s="1"/>
  <c r="M581" i="1"/>
  <c r="N581" i="1" s="1"/>
  <c r="M580" i="1"/>
  <c r="N580" i="1" s="1"/>
  <c r="M575" i="1"/>
  <c r="N575" i="1" s="1"/>
  <c r="M566" i="1"/>
  <c r="N566" i="1" s="1"/>
  <c r="M554" i="1"/>
  <c r="N554" i="1" s="1"/>
  <c r="M544" i="1"/>
  <c r="N544" i="1" s="1"/>
  <c r="M542" i="1"/>
  <c r="N542" i="1" s="1"/>
  <c r="M540" i="1"/>
  <c r="N540" i="1" s="1"/>
  <c r="M538" i="1"/>
  <c r="N538" i="1" s="1"/>
  <c r="M532" i="1"/>
  <c r="N532" i="1" s="1"/>
  <c r="M529" i="1"/>
  <c r="N529" i="1" s="1"/>
  <c r="M522" i="1"/>
  <c r="N522" i="1" s="1"/>
  <c r="M519" i="1"/>
  <c r="N519" i="1" s="1"/>
  <c r="M517" i="1"/>
  <c r="N517" i="1" s="1"/>
  <c r="M512" i="1"/>
  <c r="N512" i="1" s="1"/>
  <c r="M503" i="1"/>
  <c r="N503" i="1" s="1"/>
  <c r="M501" i="1"/>
  <c r="N501" i="1" s="1"/>
  <c r="M497" i="1"/>
  <c r="N497" i="1" s="1"/>
  <c r="M496" i="1"/>
  <c r="N496" i="1" s="1"/>
  <c r="M491" i="1"/>
  <c r="N491" i="1" s="1"/>
  <c r="M488" i="1"/>
  <c r="N488" i="1" s="1"/>
  <c r="M486" i="1"/>
  <c r="N486" i="1" s="1"/>
  <c r="M484" i="1"/>
  <c r="N484" i="1" s="1"/>
  <c r="M477" i="1"/>
  <c r="N477" i="1" s="1"/>
  <c r="M476" i="1"/>
  <c r="N476" i="1" s="1"/>
  <c r="M474" i="1"/>
  <c r="N474" i="1" s="1"/>
  <c r="M466" i="1"/>
  <c r="N466" i="1" s="1"/>
  <c r="M464" i="1"/>
  <c r="N464" i="1" s="1"/>
  <c r="M459" i="1"/>
  <c r="N459" i="1" s="1"/>
  <c r="M458" i="1"/>
  <c r="N458" i="1" s="1"/>
  <c r="M457" i="1"/>
  <c r="N457" i="1" s="1"/>
  <c r="M456" i="1"/>
  <c r="N456" i="1" s="1"/>
  <c r="M452" i="1"/>
  <c r="N452" i="1" s="1"/>
  <c r="M447" i="1"/>
  <c r="N447" i="1" s="1"/>
  <c r="M446" i="1"/>
  <c r="N446" i="1" s="1"/>
  <c r="M445" i="1"/>
  <c r="N445" i="1" s="1"/>
  <c r="M440" i="1"/>
  <c r="N440" i="1" s="1"/>
  <c r="M434" i="1"/>
  <c r="N434" i="1" s="1"/>
  <c r="M430" i="1"/>
  <c r="N430" i="1" s="1"/>
  <c r="M424" i="1"/>
  <c r="N424" i="1" s="1"/>
  <c r="M418" i="1"/>
  <c r="N418" i="1" s="1"/>
  <c r="M417" i="1"/>
  <c r="N417" i="1" s="1"/>
  <c r="M414" i="1"/>
  <c r="N414" i="1" s="1"/>
  <c r="M413" i="1"/>
  <c r="N413" i="1" s="1"/>
  <c r="M412" i="1"/>
  <c r="N412" i="1" s="1"/>
  <c r="M408" i="1"/>
  <c r="N408" i="1" s="1"/>
  <c r="M407" i="1"/>
  <c r="N407" i="1" s="1"/>
  <c r="M404" i="1"/>
  <c r="N404" i="1" s="1"/>
  <c r="M399" i="1"/>
  <c r="N399" i="1" s="1"/>
  <c r="M397" i="1"/>
  <c r="N397" i="1" s="1"/>
  <c r="M393" i="1"/>
  <c r="N393" i="1" s="1"/>
  <c r="M388" i="1"/>
  <c r="N388" i="1" s="1"/>
  <c r="M384" i="1"/>
  <c r="N384" i="1" s="1"/>
  <c r="M377" i="1"/>
  <c r="N377" i="1" s="1"/>
  <c r="M376" i="1"/>
  <c r="N376" i="1" s="1"/>
  <c r="M374" i="1"/>
  <c r="N374" i="1" s="1"/>
  <c r="M371" i="1"/>
  <c r="N371" i="1" s="1"/>
  <c r="M370" i="1"/>
  <c r="N370" i="1" s="1"/>
  <c r="M366" i="1"/>
  <c r="N366" i="1" s="1"/>
  <c r="M364" i="1"/>
  <c r="N364" i="1" s="1"/>
  <c r="M358" i="1"/>
  <c r="N358" i="1" s="1"/>
  <c r="M354" i="1"/>
  <c r="N354" i="1" s="1"/>
  <c r="M353" i="1"/>
  <c r="N353" i="1" s="1"/>
  <c r="M332" i="1"/>
  <c r="N332" i="1" s="1"/>
  <c r="M330" i="1"/>
  <c r="N330" i="1" s="1"/>
  <c r="M323" i="1"/>
  <c r="N323" i="1" s="1"/>
  <c r="M322" i="1"/>
  <c r="N322" i="1" s="1"/>
  <c r="M318" i="1"/>
  <c r="N318" i="1" s="1"/>
  <c r="M315" i="1"/>
  <c r="N315" i="1" s="1"/>
  <c r="M308" i="1"/>
  <c r="N308" i="1" s="1"/>
  <c r="M302" i="1"/>
  <c r="N302" i="1" s="1"/>
  <c r="M295" i="1"/>
  <c r="N295" i="1" s="1"/>
  <c r="M282" i="1"/>
  <c r="N282" i="1" s="1"/>
  <c r="M279" i="1"/>
  <c r="N279" i="1" s="1"/>
  <c r="M271" i="1"/>
  <c r="N271" i="1" s="1"/>
  <c r="M268" i="1"/>
  <c r="N268" i="1" s="1"/>
  <c r="M266" i="1"/>
  <c r="N266" i="1" s="1"/>
  <c r="M258" i="1"/>
  <c r="N258" i="1" s="1"/>
  <c r="M257" i="1"/>
  <c r="N257" i="1" s="1"/>
  <c r="M233" i="1"/>
  <c r="N233" i="1" s="1"/>
  <c r="M229" i="1"/>
  <c r="N229" i="1" s="1"/>
  <c r="M227" i="1"/>
  <c r="N227" i="1" s="1"/>
  <c r="M221" i="1"/>
  <c r="N221" i="1" s="1"/>
  <c r="M218" i="1"/>
  <c r="N218" i="1" s="1"/>
  <c r="M217" i="1"/>
  <c r="N217" i="1" s="1"/>
  <c r="M215" i="1"/>
  <c r="N215" i="1" s="1"/>
  <c r="M214" i="1"/>
  <c r="N214" i="1" s="1"/>
  <c r="M213" i="1"/>
  <c r="N213" i="1" s="1"/>
  <c r="M210" i="1"/>
  <c r="N210" i="1" s="1"/>
  <c r="M206" i="1"/>
  <c r="N206" i="1" s="1"/>
  <c r="M200" i="1"/>
  <c r="N200" i="1" s="1"/>
  <c r="M198" i="1"/>
  <c r="N198" i="1" s="1"/>
  <c r="M197" i="1"/>
  <c r="N197" i="1" s="1"/>
  <c r="M195" i="1"/>
  <c r="N195" i="1" s="1"/>
  <c r="M194" i="1"/>
  <c r="N194" i="1" s="1"/>
  <c r="M188" i="1"/>
  <c r="N188" i="1" s="1"/>
  <c r="M183" i="1"/>
  <c r="N183" i="1" s="1"/>
  <c r="M181" i="1"/>
  <c r="N181" i="1" s="1"/>
  <c r="M179" i="1"/>
  <c r="N179" i="1" s="1"/>
  <c r="M163" i="1"/>
  <c r="N163" i="1" s="1"/>
  <c r="M160" i="1"/>
  <c r="N160" i="1" s="1"/>
  <c r="M158" i="1"/>
  <c r="N158" i="1" s="1"/>
  <c r="M156" i="1"/>
  <c r="N156" i="1" s="1"/>
  <c r="M155" i="1"/>
  <c r="N155" i="1" s="1"/>
  <c r="M151" i="1"/>
  <c r="N151" i="1" s="1"/>
  <c r="M147" i="1"/>
  <c r="N147" i="1" s="1"/>
  <c r="M145" i="1"/>
  <c r="N145" i="1" s="1"/>
  <c r="M136" i="1"/>
  <c r="N136" i="1" s="1"/>
  <c r="M128" i="1"/>
  <c r="N128" i="1" s="1"/>
  <c r="M125" i="1"/>
  <c r="N125" i="1" s="1"/>
  <c r="M123" i="1"/>
  <c r="N123" i="1" s="1"/>
  <c r="M117" i="1"/>
  <c r="N117" i="1" s="1"/>
  <c r="M115" i="1"/>
  <c r="N115" i="1" s="1"/>
  <c r="M111" i="1"/>
  <c r="N111" i="1" s="1"/>
  <c r="M107" i="1"/>
  <c r="N107" i="1" s="1"/>
  <c r="M106" i="1"/>
  <c r="N106" i="1" s="1"/>
  <c r="M105" i="1"/>
  <c r="N105" i="1" s="1"/>
  <c r="M103" i="1"/>
  <c r="N103" i="1" s="1"/>
  <c r="M100" i="1"/>
  <c r="N100" i="1" s="1"/>
  <c r="M91" i="1"/>
  <c r="N91" i="1" s="1"/>
  <c r="M88" i="1"/>
  <c r="N88" i="1" s="1"/>
  <c r="M86" i="1"/>
  <c r="N86" i="1" s="1"/>
  <c r="M85" i="1"/>
  <c r="N85" i="1" s="1"/>
  <c r="M81" i="1"/>
  <c r="N81" i="1" s="1"/>
  <c r="M76" i="1"/>
  <c r="N76" i="1" s="1"/>
  <c r="M74" i="1"/>
  <c r="N74" i="1" s="1"/>
  <c r="M71" i="1"/>
  <c r="N71" i="1" s="1"/>
  <c r="M69" i="1"/>
  <c r="N69" i="1" s="1"/>
  <c r="M64" i="1"/>
  <c r="N64" i="1" s="1"/>
  <c r="M62" i="1"/>
  <c r="N62" i="1" s="1"/>
  <c r="M47" i="1"/>
  <c r="N47" i="1" s="1"/>
  <c r="M44" i="1"/>
  <c r="N44" i="1" s="1"/>
  <c r="M41" i="1"/>
  <c r="N41" i="1" s="1"/>
  <c r="M37" i="1"/>
  <c r="N37" i="1" s="1"/>
  <c r="M28" i="1"/>
  <c r="N28" i="1" s="1"/>
  <c r="M25" i="1"/>
  <c r="N25" i="1" s="1"/>
  <c r="M18" i="1"/>
  <c r="N18" i="1" s="1"/>
  <c r="M17" i="1"/>
  <c r="N17" i="1" s="1"/>
  <c r="M11" i="1"/>
  <c r="N11" i="1" s="1"/>
  <c r="M7" i="1"/>
  <c r="N7" i="1" s="1"/>
  <c r="M5" i="1"/>
  <c r="N5" i="1" s="1"/>
  <c r="K781" i="1" a="1"/>
  <c r="K781" i="1"/>
  <c r="K782" i="1" a="1"/>
  <c r="K782" i="1"/>
  <c r="K783" i="1" a="1"/>
  <c r="K783" i="1"/>
  <c r="K784" i="1" a="1"/>
  <c r="K784" i="1"/>
  <c r="K785" i="1" a="1"/>
  <c r="K785" i="1"/>
  <c r="K786" i="1" a="1"/>
  <c r="K786" i="1"/>
  <c r="K787" i="1" a="1"/>
  <c r="K787" i="1"/>
  <c r="K788" i="1" a="1"/>
  <c r="K788" i="1"/>
  <c r="K789" i="1" a="1"/>
  <c r="K789" i="1"/>
  <c r="K790" i="1" a="1"/>
  <c r="K790" i="1"/>
  <c r="K791" i="1" a="1"/>
  <c r="K791" i="1"/>
  <c r="K792" i="1" a="1"/>
  <c r="K792" i="1"/>
  <c r="K793" i="1" a="1"/>
  <c r="K793" i="1"/>
  <c r="K794" i="1" a="1"/>
  <c r="K794" i="1"/>
  <c r="K795" i="1" a="1"/>
  <c r="K795" i="1"/>
  <c r="K796" i="1" a="1"/>
  <c r="K796" i="1"/>
  <c r="K797" i="1" a="1"/>
  <c r="K797" i="1"/>
  <c r="K798" i="1" a="1"/>
  <c r="K798" i="1"/>
  <c r="K799" i="1" a="1"/>
  <c r="K799" i="1"/>
  <c r="K800" i="1" a="1"/>
  <c r="K800" i="1"/>
  <c r="K801" i="1" a="1"/>
  <c r="K801" i="1"/>
  <c r="K802" i="1" a="1"/>
  <c r="K802" i="1"/>
  <c r="K803" i="1" a="1"/>
  <c r="K803" i="1"/>
  <c r="K804" i="1" a="1"/>
  <c r="K804" i="1"/>
  <c r="K805" i="1" a="1"/>
  <c r="K805" i="1"/>
  <c r="K806" i="1" a="1"/>
  <c r="K806" i="1"/>
  <c r="K807" i="1" a="1"/>
  <c r="K807" i="1"/>
  <c r="K808" i="1" a="1"/>
  <c r="K808" i="1"/>
  <c r="K809" i="1" a="1"/>
  <c r="K809" i="1"/>
  <c r="K810" i="1" a="1"/>
  <c r="K810" i="1"/>
  <c r="K811" i="1" a="1"/>
  <c r="K811" i="1"/>
  <c r="K812" i="1" a="1"/>
  <c r="K812" i="1"/>
  <c r="K813" i="1" a="1"/>
  <c r="K813" i="1"/>
  <c r="K814" i="1" a="1"/>
  <c r="K814" i="1"/>
  <c r="K815" i="1" a="1"/>
  <c r="K815" i="1"/>
  <c r="K816" i="1" a="1"/>
  <c r="K816" i="1"/>
  <c r="K817" i="1" a="1"/>
  <c r="K817" i="1"/>
  <c r="K818" i="1" a="1"/>
  <c r="K818" i="1"/>
  <c r="K819" i="1" a="1"/>
  <c r="K819" i="1"/>
  <c r="K820" i="1" a="1"/>
  <c r="K820" i="1"/>
  <c r="K821" i="1" a="1"/>
  <c r="K821" i="1"/>
  <c r="K822" i="1" a="1"/>
  <c r="K822" i="1"/>
  <c r="K823" i="1" a="1"/>
  <c r="K823" i="1"/>
  <c r="K824" i="1" a="1"/>
  <c r="K824" i="1"/>
  <c r="K825" i="1" a="1"/>
  <c r="K825" i="1"/>
  <c r="K826" i="1" a="1"/>
  <c r="K826" i="1"/>
  <c r="K827" i="1" a="1"/>
  <c r="K827" i="1"/>
  <c r="K828" i="1" a="1"/>
  <c r="K828" i="1"/>
  <c r="K829" i="1" a="1"/>
  <c r="K829" i="1"/>
  <c r="K830" i="1" a="1"/>
  <c r="K830" i="1"/>
  <c r="K831" i="1" a="1"/>
  <c r="K831" i="1"/>
  <c r="K832" i="1" a="1"/>
  <c r="K832" i="1"/>
  <c r="K833" i="1" a="1"/>
  <c r="K833" i="1"/>
  <c r="K834" i="1" a="1"/>
  <c r="K834" i="1"/>
  <c r="K835" i="1" a="1"/>
  <c r="K835" i="1"/>
  <c r="K836" i="1" a="1"/>
  <c r="K836" i="1"/>
  <c r="K837" i="1" a="1"/>
  <c r="K837" i="1"/>
  <c r="K838" i="1" a="1"/>
  <c r="K838" i="1"/>
  <c r="K839" i="1" a="1"/>
  <c r="K839" i="1"/>
  <c r="K840" i="1" a="1"/>
  <c r="K840" i="1"/>
  <c r="K841" i="1" a="1"/>
  <c r="K841" i="1"/>
  <c r="K842" i="1" a="1"/>
  <c r="K842" i="1"/>
  <c r="K843" i="1" a="1"/>
  <c r="K843" i="1"/>
  <c r="K844" i="1" a="1"/>
  <c r="K844" i="1"/>
  <c r="K845" i="1" a="1"/>
  <c r="K845" i="1"/>
  <c r="K846" i="1" a="1"/>
  <c r="K846" i="1"/>
  <c r="K847" i="1" a="1"/>
  <c r="K847" i="1"/>
  <c r="K848" i="1" a="1"/>
  <c r="K848" i="1"/>
  <c r="K849" i="1" a="1"/>
  <c r="K849" i="1"/>
  <c r="K850" i="1" a="1"/>
  <c r="K850" i="1"/>
  <c r="K851" i="1" a="1"/>
  <c r="K851" i="1"/>
  <c r="K852" i="1" a="1"/>
  <c r="K852" i="1"/>
  <c r="K853" i="1" a="1"/>
  <c r="K853" i="1"/>
  <c r="K854" i="1" a="1"/>
  <c r="K854" i="1"/>
  <c r="K855" i="1" a="1"/>
  <c r="K855" i="1"/>
  <c r="K856" i="1" a="1"/>
  <c r="K856" i="1"/>
  <c r="K857" i="1" a="1"/>
  <c r="K857" i="1"/>
  <c r="K858" i="1" a="1"/>
  <c r="K858" i="1"/>
  <c r="K859" i="1" a="1"/>
  <c r="K859" i="1"/>
  <c r="K860" i="1" a="1"/>
  <c r="K860" i="1"/>
  <c r="K861" i="1" a="1"/>
  <c r="K861" i="1"/>
  <c r="K862" i="1" a="1"/>
  <c r="K862" i="1"/>
  <c r="K863" i="1" a="1"/>
  <c r="K863" i="1"/>
  <c r="K864" i="1" a="1"/>
  <c r="K864" i="1"/>
  <c r="K865" i="1" a="1"/>
  <c r="K865" i="1"/>
  <c r="K866" i="1" a="1"/>
  <c r="K866" i="1"/>
  <c r="K867" i="1" a="1"/>
  <c r="K867" i="1"/>
  <c r="K868" i="1" a="1"/>
  <c r="K868" i="1"/>
  <c r="K869" i="1" a="1"/>
  <c r="K869" i="1"/>
  <c r="K870" i="1" a="1"/>
  <c r="K870" i="1"/>
  <c r="K871" i="1" a="1"/>
  <c r="K871" i="1"/>
  <c r="K872" i="1" a="1"/>
  <c r="K872" i="1"/>
  <c r="K873" i="1" a="1"/>
  <c r="K873" i="1"/>
  <c r="K874" i="1" a="1"/>
  <c r="K874" i="1"/>
  <c r="K875" i="1" a="1"/>
  <c r="K875" i="1"/>
  <c r="K876" i="1" a="1"/>
  <c r="K876" i="1"/>
  <c r="K877" i="1" a="1"/>
  <c r="K877" i="1"/>
  <c r="K878" i="1" a="1"/>
  <c r="K878" i="1"/>
  <c r="K879" i="1" a="1"/>
  <c r="K879" i="1"/>
  <c r="K880" i="1" a="1"/>
  <c r="K880" i="1"/>
  <c r="K881" i="1" a="1"/>
  <c r="K881" i="1"/>
  <c r="K882" i="1" a="1"/>
  <c r="K882" i="1"/>
  <c r="K883" i="1" a="1"/>
  <c r="K883" i="1"/>
  <c r="K884" i="1" a="1"/>
  <c r="K884" i="1"/>
  <c r="K885" i="1" a="1"/>
  <c r="K885" i="1"/>
  <c r="K886" i="1" a="1"/>
  <c r="K886" i="1"/>
  <c r="K887" i="1" a="1"/>
  <c r="K887" i="1"/>
  <c r="K888" i="1" a="1"/>
  <c r="K888" i="1"/>
  <c r="K889" i="1" a="1"/>
  <c r="K889" i="1"/>
  <c r="K890" i="1" a="1"/>
  <c r="K890" i="1"/>
  <c r="K891" i="1" a="1"/>
  <c r="K891" i="1"/>
  <c r="K892" i="1" a="1"/>
  <c r="K892" i="1"/>
  <c r="K893" i="1" a="1"/>
  <c r="K893" i="1"/>
  <c r="K894" i="1" a="1"/>
  <c r="K894" i="1"/>
  <c r="K895" i="1" a="1"/>
  <c r="K895" i="1"/>
  <c r="K896" i="1" a="1"/>
  <c r="K896" i="1"/>
  <c r="K897" i="1" a="1"/>
  <c r="K897" i="1"/>
  <c r="K898" i="1" a="1"/>
  <c r="K898" i="1"/>
  <c r="K899" i="1" a="1"/>
  <c r="K899" i="1"/>
  <c r="K900" i="1" a="1"/>
  <c r="K900" i="1"/>
  <c r="K901" i="1" a="1"/>
  <c r="K901" i="1"/>
  <c r="K902" i="1" a="1"/>
  <c r="K902" i="1"/>
  <c r="K903" i="1" a="1"/>
  <c r="K903" i="1"/>
  <c r="K904" i="1" a="1"/>
  <c r="K904" i="1"/>
  <c r="K905" i="1" a="1"/>
  <c r="K905" i="1"/>
  <c r="K906" i="1" a="1"/>
  <c r="K906" i="1"/>
  <c r="K907" i="1" a="1"/>
  <c r="K907" i="1"/>
  <c r="K908" i="1" a="1"/>
  <c r="K908" i="1"/>
  <c r="K909" i="1" a="1"/>
  <c r="K909" i="1"/>
  <c r="K910" i="1" a="1"/>
  <c r="K910" i="1"/>
  <c r="K911" i="1" a="1"/>
  <c r="K911" i="1"/>
  <c r="K912" i="1" a="1"/>
  <c r="K912" i="1"/>
  <c r="K913" i="1" a="1"/>
  <c r="K913" i="1"/>
  <c r="K914" i="1" a="1"/>
  <c r="K914" i="1"/>
  <c r="K915" i="1" a="1"/>
  <c r="K915" i="1"/>
  <c r="K916" i="1" a="1"/>
  <c r="K916" i="1"/>
  <c r="K917" i="1" a="1"/>
  <c r="K917" i="1"/>
  <c r="K918" i="1" a="1"/>
  <c r="K918" i="1"/>
  <c r="K919" i="1" a="1"/>
  <c r="K919" i="1"/>
  <c r="K920" i="1" a="1"/>
  <c r="K920" i="1"/>
  <c r="K921" i="1" a="1"/>
  <c r="K921" i="1"/>
  <c r="K922" i="1" a="1"/>
  <c r="K922" i="1"/>
  <c r="K923" i="1" a="1"/>
  <c r="K923" i="1"/>
  <c r="K924" i="1" a="1"/>
  <c r="K924" i="1"/>
  <c r="K925" i="1" a="1"/>
  <c r="K925" i="1"/>
  <c r="K926" i="1" a="1"/>
  <c r="K926" i="1"/>
  <c r="K927" i="1" a="1"/>
  <c r="K927" i="1"/>
  <c r="K928" i="1" a="1"/>
  <c r="K928" i="1"/>
  <c r="K929" i="1" a="1"/>
  <c r="K929" i="1"/>
  <c r="K930" i="1" a="1"/>
  <c r="K930" i="1"/>
  <c r="K931" i="1" a="1"/>
  <c r="K931" i="1"/>
  <c r="K932" i="1" a="1"/>
  <c r="K932" i="1"/>
  <c r="K933" i="1" a="1"/>
  <c r="K933" i="1"/>
  <c r="K934" i="1" a="1"/>
  <c r="K934" i="1"/>
  <c r="K935" i="1" a="1"/>
  <c r="K935" i="1"/>
  <c r="K936" i="1" a="1"/>
  <c r="K936" i="1"/>
  <c r="K937" i="1" a="1"/>
  <c r="K937" i="1"/>
  <c r="K938" i="1" a="1"/>
  <c r="K938" i="1"/>
  <c r="K939" i="1" a="1"/>
  <c r="K939" i="1"/>
  <c r="K940" i="1" a="1"/>
  <c r="K940" i="1"/>
  <c r="K941" i="1" a="1"/>
  <c r="K941" i="1"/>
  <c r="K942" i="1" a="1"/>
  <c r="K942" i="1"/>
  <c r="K943" i="1" a="1"/>
  <c r="K943" i="1"/>
  <c r="K944" i="1" a="1"/>
  <c r="K944" i="1"/>
  <c r="K945" i="1" a="1"/>
  <c r="K945" i="1"/>
  <c r="K946" i="1" a="1"/>
  <c r="K946" i="1"/>
  <c r="K947" i="1" a="1"/>
  <c r="K947" i="1"/>
  <c r="K948" i="1" a="1"/>
  <c r="K948" i="1"/>
  <c r="K949" i="1" a="1"/>
  <c r="K949" i="1"/>
  <c r="K950" i="1" a="1"/>
  <c r="K950" i="1"/>
  <c r="K951" i="1" a="1"/>
  <c r="K951" i="1"/>
  <c r="K952" i="1" a="1"/>
  <c r="K952" i="1"/>
  <c r="K953" i="1" a="1"/>
  <c r="K953" i="1"/>
  <c r="K954" i="1" a="1"/>
  <c r="K954" i="1"/>
  <c r="K955" i="1" a="1"/>
  <c r="K955" i="1"/>
  <c r="K956" i="1" a="1"/>
  <c r="K956" i="1"/>
  <c r="K957" i="1" a="1"/>
  <c r="K957" i="1"/>
  <c r="K958" i="1" a="1"/>
  <c r="K958" i="1"/>
  <c r="K959" i="1" a="1"/>
  <c r="K959" i="1"/>
  <c r="K960" i="1" a="1"/>
  <c r="K960" i="1"/>
  <c r="K961" i="1" a="1"/>
  <c r="K961" i="1"/>
  <c r="K962" i="1" a="1"/>
  <c r="K962" i="1"/>
  <c r="K963" i="1" a="1"/>
  <c r="K963" i="1"/>
  <c r="K964" i="1" a="1"/>
  <c r="K964" i="1"/>
  <c r="K965" i="1" a="1"/>
  <c r="K965" i="1"/>
  <c r="K966" i="1" a="1"/>
  <c r="K966" i="1"/>
  <c r="K967" i="1" a="1"/>
  <c r="K967" i="1"/>
  <c r="K968" i="1" a="1"/>
  <c r="K968" i="1"/>
  <c r="K969" i="1" a="1"/>
  <c r="K969" i="1"/>
  <c r="K970" i="1" a="1"/>
  <c r="K970" i="1"/>
  <c r="K971" i="1" a="1"/>
  <c r="K971" i="1"/>
  <c r="K972" i="1" a="1"/>
  <c r="K972" i="1"/>
  <c r="K973" i="1" a="1"/>
  <c r="K973" i="1"/>
  <c r="K974" i="1" a="1"/>
  <c r="K974" i="1"/>
  <c r="K975" i="1" a="1"/>
  <c r="K975" i="1"/>
  <c r="K976" i="1" a="1"/>
  <c r="K976" i="1"/>
  <c r="K977" i="1" a="1"/>
  <c r="K977" i="1"/>
  <c r="K978" i="1" a="1"/>
  <c r="K978" i="1"/>
  <c r="K979" i="1" a="1"/>
  <c r="K979" i="1"/>
  <c r="K980" i="1" a="1"/>
  <c r="K980" i="1"/>
  <c r="K981" i="1" a="1"/>
  <c r="K981" i="1"/>
  <c r="K982" i="1" a="1"/>
  <c r="K982" i="1"/>
  <c r="K983" i="1" a="1"/>
  <c r="K983" i="1"/>
  <c r="K984" i="1" a="1"/>
  <c r="K984" i="1"/>
  <c r="K985" i="1" a="1"/>
  <c r="K985" i="1"/>
  <c r="K986" i="1" a="1"/>
  <c r="K986" i="1"/>
  <c r="K987" i="1" a="1"/>
  <c r="K987" i="1"/>
  <c r="K988" i="1" a="1"/>
  <c r="K988" i="1"/>
  <c r="K989" i="1" a="1"/>
  <c r="K989" i="1"/>
  <c r="K990" i="1" a="1"/>
  <c r="K990" i="1"/>
  <c r="K991" i="1" a="1"/>
  <c r="K991" i="1"/>
  <c r="K992" i="1" a="1"/>
  <c r="K992" i="1"/>
  <c r="K993" i="1" a="1"/>
  <c r="K993" i="1"/>
  <c r="K994" i="1" a="1"/>
  <c r="K994" i="1"/>
  <c r="K995" i="1" a="1"/>
  <c r="K995" i="1"/>
  <c r="K996" i="1" a="1"/>
  <c r="K996" i="1"/>
  <c r="K997" i="1" a="1"/>
  <c r="K997" i="1"/>
  <c r="K998" i="1" a="1"/>
  <c r="K998" i="1"/>
  <c r="K999" i="1" a="1"/>
  <c r="K999" i="1"/>
  <c r="K1000" i="1" a="1"/>
  <c r="K1000" i="1"/>
  <c r="K1001" i="1" a="1"/>
  <c r="K1001" i="1"/>
  <c r="K777" i="1" a="1"/>
  <c r="K777" i="1"/>
  <c r="K778" i="1" a="1"/>
  <c r="K778" i="1"/>
  <c r="K779" i="1" a="1"/>
  <c r="K779" i="1"/>
  <c r="K780" i="1" a="1"/>
  <c r="K780" i="1"/>
  <c r="K762" i="1" a="1"/>
  <c r="K762" i="1"/>
  <c r="K763" i="1" a="1"/>
  <c r="K763" i="1"/>
  <c r="K764" i="1" a="1"/>
  <c r="K764" i="1"/>
  <c r="K765" i="1" a="1"/>
  <c r="K765" i="1"/>
  <c r="K766" i="1" a="1"/>
  <c r="K766" i="1"/>
  <c r="K767" i="1" a="1"/>
  <c r="K767" i="1"/>
  <c r="K768" i="1" a="1"/>
  <c r="K768" i="1"/>
  <c r="K769" i="1" a="1"/>
  <c r="K769" i="1"/>
  <c r="K770" i="1" a="1"/>
  <c r="K770" i="1"/>
  <c r="K771" i="1" a="1"/>
  <c r="K771" i="1"/>
  <c r="K772" i="1" a="1"/>
  <c r="K772" i="1"/>
  <c r="K773" i="1" a="1"/>
  <c r="K773" i="1"/>
  <c r="K774" i="1" a="1"/>
  <c r="K774" i="1"/>
  <c r="K775" i="1" a="1"/>
  <c r="K775" i="1"/>
  <c r="K776" i="1" a="1"/>
  <c r="K776" i="1"/>
  <c r="K22" i="1" a="1"/>
  <c r="K22" i="1"/>
  <c r="K23" i="1" a="1"/>
  <c r="K23" i="1"/>
  <c r="K24" i="1" a="1"/>
  <c r="K24" i="1"/>
  <c r="K25" i="1" a="1"/>
  <c r="K25" i="1"/>
  <c r="K26" i="1" a="1"/>
  <c r="K26" i="1"/>
  <c r="K27" i="1" a="1"/>
  <c r="K27" i="1"/>
  <c r="K28" i="1" a="1"/>
  <c r="K28" i="1"/>
  <c r="K29" i="1" a="1"/>
  <c r="K29" i="1"/>
  <c r="K30" i="1" a="1"/>
  <c r="K30" i="1"/>
  <c r="K31" i="1" a="1"/>
  <c r="K31" i="1"/>
  <c r="K32" i="1" a="1"/>
  <c r="K32" i="1"/>
  <c r="K33" i="1" a="1"/>
  <c r="K33" i="1"/>
  <c r="K34" i="1" a="1"/>
  <c r="K34" i="1"/>
  <c r="K35" i="1" a="1"/>
  <c r="K35" i="1"/>
  <c r="K36" i="1" a="1"/>
  <c r="K36" i="1"/>
  <c r="K37" i="1" a="1"/>
  <c r="K37" i="1"/>
  <c r="K38" i="1" a="1"/>
  <c r="K38" i="1"/>
  <c r="K39" i="1" a="1"/>
  <c r="K39" i="1"/>
  <c r="K40" i="1" a="1"/>
  <c r="K40" i="1"/>
  <c r="K41" i="1" a="1"/>
  <c r="K41" i="1"/>
  <c r="K42" i="1" a="1"/>
  <c r="K42" i="1"/>
  <c r="K43" i="1" a="1"/>
  <c r="K43" i="1"/>
  <c r="K44" i="1" a="1"/>
  <c r="K44" i="1"/>
  <c r="K45" i="1" a="1"/>
  <c r="K45" i="1"/>
  <c r="K46" i="1" a="1"/>
  <c r="K46" i="1"/>
  <c r="K47" i="1" a="1"/>
  <c r="K47" i="1"/>
  <c r="K48" i="1" a="1"/>
  <c r="K48" i="1"/>
  <c r="K49" i="1" a="1"/>
  <c r="K49" i="1"/>
  <c r="K50" i="1" a="1"/>
  <c r="K50" i="1"/>
  <c r="K51" i="1" a="1"/>
  <c r="K51" i="1"/>
  <c r="K52" i="1" a="1"/>
  <c r="K52" i="1"/>
  <c r="K53" i="1" a="1"/>
  <c r="K53" i="1"/>
  <c r="K54" i="1" a="1"/>
  <c r="K54" i="1"/>
  <c r="K55" i="1" a="1"/>
  <c r="K55" i="1"/>
  <c r="K56" i="1" a="1"/>
  <c r="K56" i="1"/>
  <c r="K57" i="1" a="1"/>
  <c r="K57" i="1"/>
  <c r="K58" i="1" a="1"/>
  <c r="K58" i="1"/>
  <c r="K59" i="1" a="1"/>
  <c r="K59" i="1"/>
  <c r="K60" i="1" a="1"/>
  <c r="K60" i="1"/>
  <c r="K61" i="1" a="1"/>
  <c r="K61" i="1"/>
  <c r="K62" i="1" a="1"/>
  <c r="K62" i="1"/>
  <c r="K63" i="1" a="1"/>
  <c r="K63" i="1"/>
  <c r="K64" i="1" a="1"/>
  <c r="K64" i="1"/>
  <c r="K65" i="1" a="1"/>
  <c r="K65" i="1"/>
  <c r="K66" i="1" a="1"/>
  <c r="K66" i="1"/>
  <c r="K67" i="1" a="1"/>
  <c r="K67" i="1"/>
  <c r="K68" i="1" a="1"/>
  <c r="K68" i="1"/>
  <c r="K69" i="1" a="1"/>
  <c r="K69" i="1"/>
  <c r="K70" i="1" a="1"/>
  <c r="K70" i="1"/>
  <c r="K71" i="1" a="1"/>
  <c r="K71" i="1"/>
  <c r="K72" i="1" a="1"/>
  <c r="K72" i="1"/>
  <c r="K73" i="1" a="1"/>
  <c r="K73" i="1"/>
  <c r="K74" i="1" a="1"/>
  <c r="K74" i="1"/>
  <c r="K75" i="1" a="1"/>
  <c r="K75" i="1"/>
  <c r="K76" i="1" a="1"/>
  <c r="K76" i="1"/>
  <c r="K77" i="1" a="1"/>
  <c r="K77" i="1"/>
  <c r="K78" i="1" a="1"/>
  <c r="K78" i="1"/>
  <c r="K79" i="1" a="1"/>
  <c r="K79" i="1"/>
  <c r="K80" i="1" a="1"/>
  <c r="K80" i="1"/>
  <c r="K81" i="1" a="1"/>
  <c r="K81" i="1"/>
  <c r="K82" i="1" a="1"/>
  <c r="K82" i="1"/>
  <c r="K83" i="1" a="1"/>
  <c r="K83" i="1"/>
  <c r="K84" i="1" a="1"/>
  <c r="K84" i="1"/>
  <c r="K85" i="1" a="1"/>
  <c r="K85" i="1"/>
  <c r="K86" i="1" a="1"/>
  <c r="K86" i="1"/>
  <c r="K87" i="1" a="1"/>
  <c r="K87" i="1"/>
  <c r="K88" i="1" a="1"/>
  <c r="K88" i="1"/>
  <c r="K89" i="1" a="1"/>
  <c r="K89" i="1"/>
  <c r="K90" i="1" a="1"/>
  <c r="K90" i="1"/>
  <c r="K91" i="1" a="1"/>
  <c r="K91" i="1"/>
  <c r="K92" i="1" a="1"/>
  <c r="K92" i="1"/>
  <c r="K93" i="1" a="1"/>
  <c r="K93" i="1"/>
  <c r="K94" i="1" a="1"/>
  <c r="K94" i="1"/>
  <c r="K95" i="1" a="1"/>
  <c r="K95" i="1"/>
  <c r="K96" i="1" a="1"/>
  <c r="K96" i="1"/>
  <c r="K97" i="1" a="1"/>
  <c r="K97" i="1"/>
  <c r="K98" i="1" a="1"/>
  <c r="K98" i="1"/>
  <c r="K99" i="1" a="1"/>
  <c r="K99" i="1"/>
  <c r="K100" i="1" a="1"/>
  <c r="K100" i="1"/>
  <c r="K101" i="1" a="1"/>
  <c r="K101" i="1"/>
  <c r="K102" i="1" a="1"/>
  <c r="K102" i="1"/>
  <c r="K103" i="1" a="1"/>
  <c r="K103" i="1"/>
  <c r="K104" i="1" a="1"/>
  <c r="K104" i="1"/>
  <c r="K105" i="1" a="1"/>
  <c r="K105" i="1"/>
  <c r="K106" i="1" a="1"/>
  <c r="K106" i="1"/>
  <c r="K107" i="1" a="1"/>
  <c r="K107" i="1"/>
  <c r="K108" i="1" a="1"/>
  <c r="K108" i="1"/>
  <c r="K109" i="1" a="1"/>
  <c r="K109" i="1"/>
  <c r="K110" i="1" a="1"/>
  <c r="K110" i="1"/>
  <c r="K111" i="1" a="1"/>
  <c r="K111" i="1"/>
  <c r="K112" i="1" a="1"/>
  <c r="K112" i="1"/>
  <c r="K113" i="1" a="1"/>
  <c r="K113" i="1"/>
  <c r="K114" i="1" a="1"/>
  <c r="K114" i="1"/>
  <c r="K115" i="1" a="1"/>
  <c r="K115" i="1"/>
  <c r="K116" i="1" a="1"/>
  <c r="K116" i="1"/>
  <c r="K117" i="1" a="1"/>
  <c r="K117" i="1"/>
  <c r="K118" i="1" a="1"/>
  <c r="K118" i="1"/>
  <c r="K119" i="1" a="1"/>
  <c r="K119" i="1"/>
  <c r="K120" i="1" a="1"/>
  <c r="K120" i="1"/>
  <c r="K121" i="1" a="1"/>
  <c r="K121" i="1"/>
  <c r="K122" i="1" a="1"/>
  <c r="K122" i="1"/>
  <c r="K123" i="1" a="1"/>
  <c r="K123" i="1"/>
  <c r="K124" i="1" a="1"/>
  <c r="K124" i="1"/>
  <c r="K125" i="1" a="1"/>
  <c r="K125" i="1"/>
  <c r="K126" i="1" a="1"/>
  <c r="K126" i="1"/>
  <c r="K127" i="1" a="1"/>
  <c r="K127" i="1"/>
  <c r="K128" i="1" a="1"/>
  <c r="K128" i="1"/>
  <c r="K129" i="1" a="1"/>
  <c r="K129" i="1"/>
  <c r="K130" i="1" a="1"/>
  <c r="K130" i="1"/>
  <c r="K131" i="1" a="1"/>
  <c r="K131" i="1"/>
  <c r="K132" i="1" a="1"/>
  <c r="K132" i="1"/>
  <c r="K133" i="1" a="1"/>
  <c r="K133" i="1"/>
  <c r="K134" i="1" a="1"/>
  <c r="K134" i="1"/>
  <c r="K135" i="1" a="1"/>
  <c r="K135" i="1"/>
  <c r="K136" i="1" a="1"/>
  <c r="K136" i="1"/>
  <c r="K137" i="1" a="1"/>
  <c r="K137" i="1"/>
  <c r="K138" i="1" a="1"/>
  <c r="K138" i="1"/>
  <c r="K139" i="1" a="1"/>
  <c r="K139" i="1"/>
  <c r="K140" i="1" a="1"/>
  <c r="K140" i="1"/>
  <c r="K141" i="1" a="1"/>
  <c r="K141" i="1"/>
  <c r="K142" i="1" a="1"/>
  <c r="K142" i="1"/>
  <c r="K143" i="1" a="1"/>
  <c r="K143" i="1"/>
  <c r="K144" i="1" a="1"/>
  <c r="K144" i="1"/>
  <c r="K145" i="1" a="1"/>
  <c r="K145" i="1"/>
  <c r="K146" i="1" a="1"/>
  <c r="K146" i="1"/>
  <c r="K147" i="1" a="1"/>
  <c r="K147" i="1"/>
  <c r="K148" i="1" a="1"/>
  <c r="K148" i="1"/>
  <c r="K149" i="1" a="1"/>
  <c r="K149" i="1"/>
  <c r="K150" i="1" a="1"/>
  <c r="K150" i="1"/>
  <c r="K151" i="1" a="1"/>
  <c r="K151" i="1"/>
  <c r="K152" i="1" a="1"/>
  <c r="K152" i="1"/>
  <c r="K153" i="1" a="1"/>
  <c r="K153" i="1"/>
  <c r="K154" i="1" a="1"/>
  <c r="K154" i="1"/>
  <c r="K155" i="1" a="1"/>
  <c r="K155" i="1"/>
  <c r="K156" i="1" a="1"/>
  <c r="K156" i="1"/>
  <c r="K157" i="1" a="1"/>
  <c r="K157" i="1"/>
  <c r="K158" i="1" a="1"/>
  <c r="K158" i="1"/>
  <c r="K159" i="1" a="1"/>
  <c r="K159" i="1"/>
  <c r="K160" i="1" a="1"/>
  <c r="K160" i="1"/>
  <c r="K161" i="1" a="1"/>
  <c r="K161" i="1"/>
  <c r="K162" i="1" a="1"/>
  <c r="K162" i="1"/>
  <c r="K163" i="1" a="1"/>
  <c r="K163" i="1"/>
  <c r="K164" i="1" a="1"/>
  <c r="K164" i="1"/>
  <c r="K165" i="1" a="1"/>
  <c r="K165" i="1"/>
  <c r="K166" i="1" a="1"/>
  <c r="K166" i="1"/>
  <c r="K167" i="1" a="1"/>
  <c r="K167" i="1"/>
  <c r="K168" i="1" a="1"/>
  <c r="K168" i="1"/>
  <c r="K169" i="1" a="1"/>
  <c r="K169" i="1"/>
  <c r="K170" i="1" a="1"/>
  <c r="K170" i="1"/>
  <c r="K171" i="1" a="1"/>
  <c r="K171" i="1"/>
  <c r="K172" i="1" a="1"/>
  <c r="K172" i="1"/>
  <c r="K173" i="1" a="1"/>
  <c r="K173" i="1"/>
  <c r="K174" i="1" a="1"/>
  <c r="K174" i="1"/>
  <c r="K175" i="1" a="1"/>
  <c r="K175" i="1"/>
  <c r="K176" i="1" a="1"/>
  <c r="K176" i="1"/>
  <c r="K177" i="1" a="1"/>
  <c r="K177" i="1"/>
  <c r="K178" i="1" a="1"/>
  <c r="K178" i="1"/>
  <c r="K179" i="1" a="1"/>
  <c r="K179" i="1"/>
  <c r="K180" i="1" a="1"/>
  <c r="K180" i="1"/>
  <c r="K181" i="1" a="1"/>
  <c r="K181" i="1"/>
  <c r="K182" i="1" a="1"/>
  <c r="K182" i="1"/>
  <c r="K183" i="1" a="1"/>
  <c r="K183" i="1"/>
  <c r="K184" i="1" a="1"/>
  <c r="K184" i="1"/>
  <c r="K185" i="1" a="1"/>
  <c r="K185" i="1"/>
  <c r="K186" i="1" a="1"/>
  <c r="K186" i="1"/>
  <c r="K187" i="1" a="1"/>
  <c r="K187" i="1"/>
  <c r="K188" i="1" a="1"/>
  <c r="K188" i="1"/>
  <c r="K189" i="1" a="1"/>
  <c r="K189" i="1"/>
  <c r="K190" i="1" a="1"/>
  <c r="K190" i="1"/>
  <c r="K191" i="1" a="1"/>
  <c r="K191" i="1"/>
  <c r="K192" i="1" a="1"/>
  <c r="K192" i="1"/>
  <c r="K193" i="1" a="1"/>
  <c r="K193" i="1"/>
  <c r="K194" i="1" a="1"/>
  <c r="K194" i="1"/>
  <c r="K195" i="1" a="1"/>
  <c r="K195" i="1"/>
  <c r="K196" i="1" a="1"/>
  <c r="K196" i="1"/>
  <c r="K197" i="1" a="1"/>
  <c r="K197" i="1"/>
  <c r="K198" i="1" a="1"/>
  <c r="K198" i="1"/>
  <c r="K199" i="1" a="1"/>
  <c r="K199" i="1"/>
  <c r="K200" i="1" a="1"/>
  <c r="K200" i="1"/>
  <c r="K201" i="1" a="1"/>
  <c r="K201" i="1"/>
  <c r="K202" i="1" a="1"/>
  <c r="K202" i="1"/>
  <c r="K203" i="1" a="1"/>
  <c r="K203" i="1"/>
  <c r="K204" i="1" a="1"/>
  <c r="K204" i="1"/>
  <c r="K205" i="1" a="1"/>
  <c r="K205" i="1"/>
  <c r="K206" i="1" a="1"/>
  <c r="K206" i="1"/>
  <c r="K207" i="1" a="1"/>
  <c r="K207" i="1"/>
  <c r="K208" i="1" a="1"/>
  <c r="K208" i="1"/>
  <c r="K209" i="1" a="1"/>
  <c r="K209" i="1"/>
  <c r="K210" i="1" a="1"/>
  <c r="K210" i="1"/>
  <c r="K211" i="1" a="1"/>
  <c r="K211" i="1"/>
  <c r="K212" i="1" a="1"/>
  <c r="K212" i="1"/>
  <c r="K213" i="1" a="1"/>
  <c r="K213" i="1"/>
  <c r="K214" i="1" a="1"/>
  <c r="K214" i="1"/>
  <c r="K215" i="1" a="1"/>
  <c r="K215" i="1"/>
  <c r="K216" i="1" a="1"/>
  <c r="K216" i="1"/>
  <c r="K217" i="1" a="1"/>
  <c r="K217" i="1"/>
  <c r="K218" i="1" a="1"/>
  <c r="K218" i="1"/>
  <c r="K219" i="1" a="1"/>
  <c r="K219" i="1"/>
  <c r="K220" i="1" a="1"/>
  <c r="K220" i="1"/>
  <c r="K221" i="1" a="1"/>
  <c r="K221" i="1"/>
  <c r="K222" i="1" a="1"/>
  <c r="K222" i="1"/>
  <c r="K223" i="1" a="1"/>
  <c r="K223" i="1"/>
  <c r="K224" i="1" a="1"/>
  <c r="K224" i="1"/>
  <c r="K225" i="1" a="1"/>
  <c r="K225" i="1"/>
  <c r="K226" i="1" a="1"/>
  <c r="K226" i="1"/>
  <c r="K227" i="1" a="1"/>
  <c r="K227" i="1"/>
  <c r="K228" i="1" a="1"/>
  <c r="K228" i="1"/>
  <c r="K229" i="1" a="1"/>
  <c r="K229" i="1"/>
  <c r="K230" i="1" a="1"/>
  <c r="K230" i="1"/>
  <c r="K231" i="1" a="1"/>
  <c r="K231" i="1"/>
  <c r="K232" i="1" a="1"/>
  <c r="K232" i="1"/>
  <c r="K233" i="1" a="1"/>
  <c r="K233" i="1"/>
  <c r="K234" i="1" a="1"/>
  <c r="K234" i="1"/>
  <c r="K235" i="1" a="1"/>
  <c r="K235" i="1"/>
  <c r="K236" i="1" a="1"/>
  <c r="K236" i="1"/>
  <c r="K237" i="1" a="1"/>
  <c r="K237" i="1"/>
  <c r="K238" i="1" a="1"/>
  <c r="K238" i="1"/>
  <c r="K239" i="1" a="1"/>
  <c r="K239" i="1"/>
  <c r="K240" i="1" a="1"/>
  <c r="K240" i="1"/>
  <c r="K241" i="1" a="1"/>
  <c r="K241" i="1"/>
  <c r="K242" i="1" a="1"/>
  <c r="K242" i="1"/>
  <c r="K243" i="1" a="1"/>
  <c r="K243" i="1"/>
  <c r="K244" i="1" a="1"/>
  <c r="K244" i="1"/>
  <c r="K245" i="1" a="1"/>
  <c r="K245" i="1"/>
  <c r="K246" i="1" a="1"/>
  <c r="K246" i="1"/>
  <c r="K247" i="1" a="1"/>
  <c r="K247" i="1"/>
  <c r="K248" i="1" a="1"/>
  <c r="K248" i="1"/>
  <c r="K249" i="1" a="1"/>
  <c r="K249" i="1"/>
  <c r="K250" i="1" a="1"/>
  <c r="K250" i="1"/>
  <c r="K251" i="1" a="1"/>
  <c r="K251" i="1"/>
  <c r="K252" i="1" a="1"/>
  <c r="K252" i="1"/>
  <c r="K253" i="1" a="1"/>
  <c r="K253" i="1"/>
  <c r="K254" i="1" a="1"/>
  <c r="K254" i="1"/>
  <c r="K255" i="1" a="1"/>
  <c r="K255" i="1"/>
  <c r="K256" i="1" a="1"/>
  <c r="K256" i="1"/>
  <c r="K257" i="1" a="1"/>
  <c r="K257" i="1"/>
  <c r="K258" i="1" a="1"/>
  <c r="K258" i="1"/>
  <c r="K259" i="1" a="1"/>
  <c r="K259" i="1"/>
  <c r="K260" i="1" a="1"/>
  <c r="K260" i="1"/>
  <c r="K261" i="1" a="1"/>
  <c r="K261" i="1"/>
  <c r="K262" i="1" a="1"/>
  <c r="K262" i="1"/>
  <c r="K263" i="1" a="1"/>
  <c r="K263" i="1"/>
  <c r="K264" i="1" a="1"/>
  <c r="K264" i="1"/>
  <c r="K265" i="1" a="1"/>
  <c r="K265" i="1"/>
  <c r="K266" i="1" a="1"/>
  <c r="K266" i="1"/>
  <c r="K267" i="1" a="1"/>
  <c r="K267" i="1"/>
  <c r="K268" i="1" a="1"/>
  <c r="K268" i="1"/>
  <c r="K269" i="1" a="1"/>
  <c r="K269" i="1"/>
  <c r="K270" i="1" a="1"/>
  <c r="K270" i="1"/>
  <c r="K271" i="1" a="1"/>
  <c r="K271" i="1"/>
  <c r="K272" i="1" a="1"/>
  <c r="K272" i="1"/>
  <c r="K273" i="1" a="1"/>
  <c r="K273" i="1"/>
  <c r="K274" i="1" a="1"/>
  <c r="K274" i="1"/>
  <c r="K275" i="1" a="1"/>
  <c r="K275" i="1"/>
  <c r="K276" i="1" a="1"/>
  <c r="K276" i="1"/>
  <c r="K277" i="1" a="1"/>
  <c r="K277" i="1"/>
  <c r="K278" i="1" a="1"/>
  <c r="K278" i="1"/>
  <c r="K279" i="1" a="1"/>
  <c r="K279" i="1"/>
  <c r="K280" i="1" a="1"/>
  <c r="K280" i="1"/>
  <c r="K281" i="1" a="1"/>
  <c r="K281" i="1"/>
  <c r="K282" i="1" a="1"/>
  <c r="K282" i="1"/>
  <c r="K283" i="1" a="1"/>
  <c r="K283" i="1"/>
  <c r="K284" i="1" a="1"/>
  <c r="K284" i="1"/>
  <c r="K285" i="1" a="1"/>
  <c r="K285" i="1"/>
  <c r="K286" i="1" a="1"/>
  <c r="K286" i="1"/>
  <c r="K287" i="1" a="1"/>
  <c r="K287" i="1"/>
  <c r="K288" i="1" a="1"/>
  <c r="K288" i="1"/>
  <c r="K289" i="1" a="1"/>
  <c r="K289" i="1"/>
  <c r="K290" i="1" a="1"/>
  <c r="K290" i="1"/>
  <c r="K291" i="1" a="1"/>
  <c r="K291" i="1"/>
  <c r="K292" i="1" a="1"/>
  <c r="K292" i="1"/>
  <c r="K293" i="1" a="1"/>
  <c r="K293" i="1"/>
  <c r="K294" i="1" a="1"/>
  <c r="K294" i="1"/>
  <c r="K295" i="1" a="1"/>
  <c r="K295" i="1"/>
  <c r="K296" i="1" a="1"/>
  <c r="K296" i="1"/>
  <c r="K297" i="1" a="1"/>
  <c r="K297" i="1"/>
  <c r="K298" i="1" a="1"/>
  <c r="K298" i="1"/>
  <c r="K299" i="1" a="1"/>
  <c r="K299" i="1"/>
  <c r="K300" i="1" a="1"/>
  <c r="K300" i="1"/>
  <c r="K301" i="1" a="1"/>
  <c r="K301" i="1"/>
  <c r="K302" i="1" a="1"/>
  <c r="K302" i="1"/>
  <c r="K303" i="1" a="1"/>
  <c r="K303" i="1"/>
  <c r="K304" i="1" a="1"/>
  <c r="K304" i="1"/>
  <c r="K305" i="1" a="1"/>
  <c r="K305" i="1"/>
  <c r="K306" i="1" a="1"/>
  <c r="K306" i="1"/>
  <c r="K307" i="1" a="1"/>
  <c r="K307" i="1"/>
  <c r="K308" i="1" a="1"/>
  <c r="K308" i="1"/>
  <c r="K309" i="1" a="1"/>
  <c r="K309" i="1"/>
  <c r="K310" i="1" a="1"/>
  <c r="K310" i="1"/>
  <c r="K311" i="1" a="1"/>
  <c r="K311" i="1"/>
  <c r="K312" i="1" a="1"/>
  <c r="K312" i="1"/>
  <c r="K313" i="1" a="1"/>
  <c r="K313" i="1"/>
  <c r="K314" i="1" a="1"/>
  <c r="K314" i="1"/>
  <c r="K315" i="1" a="1"/>
  <c r="K315" i="1"/>
  <c r="K316" i="1" a="1"/>
  <c r="K316" i="1"/>
  <c r="K317" i="1" a="1"/>
  <c r="K317" i="1"/>
  <c r="K318" i="1" a="1"/>
  <c r="K318" i="1"/>
  <c r="K319" i="1" a="1"/>
  <c r="K319" i="1"/>
  <c r="K320" i="1" a="1"/>
  <c r="K320" i="1"/>
  <c r="K321" i="1" a="1"/>
  <c r="K321" i="1"/>
  <c r="K322" i="1" a="1"/>
  <c r="K322" i="1"/>
  <c r="K323" i="1" a="1"/>
  <c r="K323" i="1"/>
  <c r="K324" i="1" a="1"/>
  <c r="K324" i="1"/>
  <c r="K325" i="1" a="1"/>
  <c r="K325" i="1"/>
  <c r="K326" i="1" a="1"/>
  <c r="K326" i="1"/>
  <c r="K327" i="1" a="1"/>
  <c r="K327" i="1"/>
  <c r="K328" i="1" a="1"/>
  <c r="K328" i="1"/>
  <c r="K329" i="1" a="1"/>
  <c r="K329" i="1"/>
  <c r="K330" i="1" a="1"/>
  <c r="K330" i="1"/>
  <c r="K331" i="1" a="1"/>
  <c r="K331" i="1"/>
  <c r="K332" i="1" a="1"/>
  <c r="K332" i="1"/>
  <c r="K333" i="1" a="1"/>
  <c r="K333" i="1"/>
  <c r="K334" i="1" a="1"/>
  <c r="K334" i="1"/>
  <c r="K335" i="1" a="1"/>
  <c r="K335" i="1"/>
  <c r="K336" i="1" a="1"/>
  <c r="K336" i="1"/>
  <c r="K337" i="1" a="1"/>
  <c r="K337" i="1"/>
  <c r="K338" i="1" a="1"/>
  <c r="K338" i="1"/>
  <c r="K339" i="1" a="1"/>
  <c r="K339" i="1"/>
  <c r="K340" i="1" a="1"/>
  <c r="K340" i="1"/>
  <c r="K341" i="1" a="1"/>
  <c r="K341" i="1"/>
  <c r="K342" i="1" a="1"/>
  <c r="K342" i="1"/>
  <c r="K343" i="1" a="1"/>
  <c r="K343" i="1"/>
  <c r="K344" i="1" a="1"/>
  <c r="K344" i="1"/>
  <c r="K345" i="1" a="1"/>
  <c r="K345" i="1"/>
  <c r="K346" i="1" a="1"/>
  <c r="K346" i="1"/>
  <c r="K347" i="1" a="1"/>
  <c r="K347" i="1"/>
  <c r="K348" i="1" a="1"/>
  <c r="K348" i="1"/>
  <c r="K349" i="1" a="1"/>
  <c r="K349" i="1"/>
  <c r="K350" i="1" a="1"/>
  <c r="K350" i="1"/>
  <c r="K351" i="1" a="1"/>
  <c r="K351" i="1"/>
  <c r="K352" i="1" a="1"/>
  <c r="K352" i="1"/>
  <c r="K353" i="1" a="1"/>
  <c r="K353" i="1"/>
  <c r="K354" i="1" a="1"/>
  <c r="K354" i="1"/>
  <c r="K355" i="1" a="1"/>
  <c r="K355" i="1"/>
  <c r="K356" i="1" a="1"/>
  <c r="K356" i="1"/>
  <c r="K357" i="1" a="1"/>
  <c r="K357" i="1"/>
  <c r="K358" i="1" a="1"/>
  <c r="K358" i="1"/>
  <c r="K359" i="1" a="1"/>
  <c r="K359" i="1"/>
  <c r="K360" i="1" a="1"/>
  <c r="K360" i="1"/>
  <c r="K361" i="1" a="1"/>
  <c r="K361" i="1"/>
  <c r="K362" i="1" a="1"/>
  <c r="K362" i="1"/>
  <c r="K363" i="1" a="1"/>
  <c r="K363" i="1"/>
  <c r="K364" i="1" a="1"/>
  <c r="K364" i="1"/>
  <c r="K365" i="1" a="1"/>
  <c r="K365" i="1"/>
  <c r="K366" i="1" a="1"/>
  <c r="K366" i="1"/>
  <c r="K367" i="1" a="1"/>
  <c r="K367" i="1"/>
  <c r="K368" i="1" a="1"/>
  <c r="K368" i="1"/>
  <c r="K369" i="1" a="1"/>
  <c r="K369" i="1"/>
  <c r="K370" i="1" a="1"/>
  <c r="K370" i="1"/>
  <c r="K371" i="1" a="1"/>
  <c r="K371" i="1"/>
  <c r="K372" i="1" a="1"/>
  <c r="K372" i="1"/>
  <c r="K373" i="1" a="1"/>
  <c r="K373" i="1"/>
  <c r="K374" i="1" a="1"/>
  <c r="K374" i="1"/>
  <c r="K375" i="1" a="1"/>
  <c r="K375" i="1"/>
  <c r="K376" i="1" a="1"/>
  <c r="K376" i="1"/>
  <c r="K377" i="1" a="1"/>
  <c r="K377" i="1"/>
  <c r="K378" i="1" a="1"/>
  <c r="K378" i="1"/>
  <c r="K379" i="1" a="1"/>
  <c r="K379" i="1"/>
  <c r="K380" i="1" a="1"/>
  <c r="K380" i="1"/>
  <c r="K381" i="1" a="1"/>
  <c r="K381" i="1"/>
  <c r="K382" i="1" a="1"/>
  <c r="K382" i="1"/>
  <c r="K383" i="1" a="1"/>
  <c r="K383" i="1"/>
  <c r="K384" i="1" a="1"/>
  <c r="K384" i="1"/>
  <c r="K385" i="1" a="1"/>
  <c r="K385" i="1"/>
  <c r="K386" i="1" a="1"/>
  <c r="K386" i="1"/>
  <c r="K387" i="1" a="1"/>
  <c r="K387" i="1"/>
  <c r="K388" i="1" a="1"/>
  <c r="K388" i="1"/>
  <c r="K389" i="1" a="1"/>
  <c r="K389" i="1"/>
  <c r="K390" i="1" a="1"/>
  <c r="K390" i="1"/>
  <c r="K391" i="1" a="1"/>
  <c r="K391" i="1"/>
  <c r="K392" i="1" a="1"/>
  <c r="K392" i="1"/>
  <c r="K393" i="1" a="1"/>
  <c r="K393" i="1"/>
  <c r="K394" i="1" a="1"/>
  <c r="K394" i="1"/>
  <c r="K395" i="1" a="1"/>
  <c r="K395" i="1"/>
  <c r="K396" i="1" a="1"/>
  <c r="K396" i="1"/>
  <c r="K397" i="1" a="1"/>
  <c r="K397" i="1"/>
  <c r="K398" i="1" a="1"/>
  <c r="K398" i="1"/>
  <c r="K399" i="1" a="1"/>
  <c r="K399" i="1"/>
  <c r="K400" i="1" a="1"/>
  <c r="K400" i="1"/>
  <c r="K401" i="1" a="1"/>
  <c r="K401" i="1"/>
  <c r="K402" i="1" a="1"/>
  <c r="K402" i="1"/>
  <c r="K403" i="1" a="1"/>
  <c r="K403" i="1"/>
  <c r="K404" i="1" a="1"/>
  <c r="K404" i="1"/>
  <c r="K405" i="1" a="1"/>
  <c r="K405" i="1"/>
  <c r="K406" i="1" a="1"/>
  <c r="K406" i="1"/>
  <c r="K407" i="1" a="1"/>
  <c r="K407" i="1"/>
  <c r="K408" i="1" a="1"/>
  <c r="K408" i="1"/>
  <c r="K409" i="1" a="1"/>
  <c r="K409" i="1"/>
  <c r="K410" i="1" a="1"/>
  <c r="K410" i="1"/>
  <c r="K411" i="1" a="1"/>
  <c r="K411" i="1"/>
  <c r="K412" i="1" a="1"/>
  <c r="K412" i="1"/>
  <c r="K413" i="1" a="1"/>
  <c r="K413" i="1"/>
  <c r="K414" i="1" a="1"/>
  <c r="K414" i="1"/>
  <c r="K415" i="1" a="1"/>
  <c r="K415" i="1"/>
  <c r="K416" i="1" a="1"/>
  <c r="K416" i="1"/>
  <c r="K417" i="1" a="1"/>
  <c r="K417" i="1"/>
  <c r="K418" i="1" a="1"/>
  <c r="K418" i="1"/>
  <c r="K419" i="1" a="1"/>
  <c r="K419" i="1"/>
  <c r="K420" i="1" a="1"/>
  <c r="K420" i="1"/>
  <c r="K421" i="1" a="1"/>
  <c r="K421" i="1"/>
  <c r="K422" i="1" a="1"/>
  <c r="K422" i="1"/>
  <c r="K423" i="1" a="1"/>
  <c r="K423" i="1"/>
  <c r="K424" i="1" a="1"/>
  <c r="K424" i="1"/>
  <c r="K425" i="1" a="1"/>
  <c r="K425" i="1"/>
  <c r="K426" i="1" a="1"/>
  <c r="K426" i="1"/>
  <c r="K427" i="1" a="1"/>
  <c r="K427" i="1"/>
  <c r="K428" i="1" a="1"/>
  <c r="K428" i="1"/>
  <c r="K429" i="1" a="1"/>
  <c r="K429" i="1"/>
  <c r="K430" i="1" a="1"/>
  <c r="K430" i="1"/>
  <c r="K431" i="1" a="1"/>
  <c r="K431" i="1"/>
  <c r="K432" i="1" a="1"/>
  <c r="K432" i="1"/>
  <c r="K433" i="1" a="1"/>
  <c r="K433" i="1"/>
  <c r="K434" i="1" a="1"/>
  <c r="K434" i="1"/>
  <c r="K435" i="1" a="1"/>
  <c r="K435" i="1"/>
  <c r="K436" i="1" a="1"/>
  <c r="K436" i="1"/>
  <c r="K437" i="1" a="1"/>
  <c r="K437" i="1"/>
  <c r="K438" i="1" a="1"/>
  <c r="K438" i="1"/>
  <c r="K439" i="1" a="1"/>
  <c r="K439" i="1"/>
  <c r="K440" i="1" a="1"/>
  <c r="K440" i="1"/>
  <c r="K441" i="1" a="1"/>
  <c r="K441" i="1"/>
  <c r="K442" i="1" a="1"/>
  <c r="K442" i="1"/>
  <c r="K443" i="1" a="1"/>
  <c r="K443" i="1"/>
  <c r="K444" i="1" a="1"/>
  <c r="K444" i="1"/>
  <c r="K445" i="1" a="1"/>
  <c r="K445" i="1"/>
  <c r="K446" i="1" a="1"/>
  <c r="K446" i="1"/>
  <c r="K447" i="1" a="1"/>
  <c r="K447" i="1"/>
  <c r="K448" i="1" a="1"/>
  <c r="K448" i="1"/>
  <c r="K449" i="1" a="1"/>
  <c r="K449" i="1"/>
  <c r="K450" i="1" a="1"/>
  <c r="K450" i="1"/>
  <c r="K451" i="1" a="1"/>
  <c r="K451" i="1"/>
  <c r="K452" i="1" a="1"/>
  <c r="K452" i="1"/>
  <c r="K453" i="1" a="1"/>
  <c r="K453" i="1"/>
  <c r="K454" i="1" a="1"/>
  <c r="K454" i="1"/>
  <c r="K455" i="1" a="1"/>
  <c r="K455" i="1"/>
  <c r="K456" i="1" a="1"/>
  <c r="K456" i="1"/>
  <c r="K457" i="1" a="1"/>
  <c r="K457" i="1"/>
  <c r="K458" i="1" a="1"/>
  <c r="K458" i="1"/>
  <c r="K459" i="1" a="1"/>
  <c r="K459" i="1"/>
  <c r="K460" i="1" a="1"/>
  <c r="K460" i="1"/>
  <c r="K461" i="1" a="1"/>
  <c r="K461" i="1"/>
  <c r="K462" i="1" a="1"/>
  <c r="K462" i="1"/>
  <c r="K463" i="1" a="1"/>
  <c r="K463" i="1"/>
  <c r="K464" i="1" a="1"/>
  <c r="K464" i="1"/>
  <c r="K465" i="1" a="1"/>
  <c r="K465" i="1"/>
  <c r="K466" i="1" a="1"/>
  <c r="K466" i="1"/>
  <c r="K467" i="1" a="1"/>
  <c r="K467" i="1"/>
  <c r="K468" i="1" a="1"/>
  <c r="K468" i="1"/>
  <c r="K469" i="1" a="1"/>
  <c r="K469" i="1"/>
  <c r="K470" i="1" a="1"/>
  <c r="K470" i="1"/>
  <c r="K471" i="1" a="1"/>
  <c r="K471" i="1"/>
  <c r="K472" i="1" a="1"/>
  <c r="K472" i="1"/>
  <c r="K473" i="1" a="1"/>
  <c r="K473" i="1"/>
  <c r="K474" i="1" a="1"/>
  <c r="K474" i="1"/>
  <c r="K475" i="1" a="1"/>
  <c r="K475" i="1"/>
  <c r="K476" i="1" a="1"/>
  <c r="K476" i="1"/>
  <c r="K477" i="1" a="1"/>
  <c r="K477" i="1"/>
  <c r="K478" i="1" a="1"/>
  <c r="K478" i="1"/>
  <c r="K479" i="1" a="1"/>
  <c r="K479" i="1"/>
  <c r="K480" i="1" a="1"/>
  <c r="K480" i="1"/>
  <c r="K481" i="1" a="1"/>
  <c r="K481" i="1"/>
  <c r="K482" i="1" a="1"/>
  <c r="K482" i="1"/>
  <c r="K483" i="1" a="1"/>
  <c r="K483" i="1"/>
  <c r="K484" i="1" a="1"/>
  <c r="K484" i="1"/>
  <c r="K485" i="1" a="1"/>
  <c r="K485" i="1"/>
  <c r="K486" i="1" a="1"/>
  <c r="K486" i="1"/>
  <c r="K487" i="1" a="1"/>
  <c r="K487" i="1"/>
  <c r="K488" i="1" a="1"/>
  <c r="K488" i="1"/>
  <c r="K489" i="1" a="1"/>
  <c r="K489" i="1"/>
  <c r="K490" i="1" a="1"/>
  <c r="K490" i="1"/>
  <c r="K491" i="1" a="1"/>
  <c r="K491" i="1"/>
  <c r="K492" i="1" a="1"/>
  <c r="K492" i="1"/>
  <c r="K493" i="1" a="1"/>
  <c r="K493" i="1"/>
  <c r="K494" i="1" a="1"/>
  <c r="K494" i="1"/>
  <c r="K495" i="1" a="1"/>
  <c r="K495" i="1"/>
  <c r="K496" i="1" a="1"/>
  <c r="K496" i="1"/>
  <c r="K497" i="1" a="1"/>
  <c r="K497" i="1"/>
  <c r="K498" i="1" a="1"/>
  <c r="K498" i="1"/>
  <c r="K499" i="1" a="1"/>
  <c r="K499" i="1"/>
  <c r="K500" i="1" a="1"/>
  <c r="K500" i="1"/>
  <c r="K501" i="1" a="1"/>
  <c r="K501" i="1"/>
  <c r="K502" i="1" a="1"/>
  <c r="K502" i="1"/>
  <c r="K503" i="1" a="1"/>
  <c r="K503" i="1"/>
  <c r="K504" i="1" a="1"/>
  <c r="K504" i="1"/>
  <c r="K505" i="1" a="1"/>
  <c r="K505" i="1"/>
  <c r="K506" i="1" a="1"/>
  <c r="K506" i="1"/>
  <c r="K507" i="1" a="1"/>
  <c r="K507" i="1"/>
  <c r="K508" i="1" a="1"/>
  <c r="K508" i="1"/>
  <c r="K509" i="1" a="1"/>
  <c r="K509" i="1"/>
  <c r="K510" i="1" a="1"/>
  <c r="K510" i="1"/>
  <c r="K511" i="1" a="1"/>
  <c r="K511" i="1"/>
  <c r="K512" i="1" a="1"/>
  <c r="K512" i="1"/>
  <c r="K513" i="1" a="1"/>
  <c r="K513" i="1"/>
  <c r="K514" i="1" a="1"/>
  <c r="K514" i="1"/>
  <c r="K515" i="1" a="1"/>
  <c r="K515" i="1"/>
  <c r="K516" i="1" a="1"/>
  <c r="K516" i="1"/>
  <c r="K517" i="1" a="1"/>
  <c r="K517" i="1"/>
  <c r="K518" i="1" a="1"/>
  <c r="K518" i="1"/>
  <c r="K519" i="1" a="1"/>
  <c r="K519" i="1"/>
  <c r="K520" i="1" a="1"/>
  <c r="K520" i="1"/>
  <c r="K521" i="1" a="1"/>
  <c r="K521" i="1"/>
  <c r="K522" i="1" a="1"/>
  <c r="K522" i="1"/>
  <c r="K523" i="1" a="1"/>
  <c r="K523" i="1"/>
  <c r="K524" i="1" a="1"/>
  <c r="K524" i="1"/>
  <c r="K525" i="1" a="1"/>
  <c r="K525" i="1"/>
  <c r="K526" i="1" a="1"/>
  <c r="K526" i="1"/>
  <c r="K527" i="1" a="1"/>
  <c r="K527" i="1"/>
  <c r="K528" i="1" a="1"/>
  <c r="K528" i="1"/>
  <c r="K529" i="1" a="1"/>
  <c r="K529" i="1"/>
  <c r="K530" i="1" a="1"/>
  <c r="K530" i="1"/>
  <c r="K531" i="1" a="1"/>
  <c r="K531" i="1"/>
  <c r="K532" i="1" a="1"/>
  <c r="K532" i="1"/>
  <c r="K533" i="1" a="1"/>
  <c r="K533" i="1"/>
  <c r="K534" i="1" a="1"/>
  <c r="K534" i="1"/>
  <c r="K535" i="1" a="1"/>
  <c r="K535" i="1"/>
  <c r="K536" i="1" a="1"/>
  <c r="K536" i="1"/>
  <c r="K537" i="1" a="1"/>
  <c r="K537" i="1"/>
  <c r="K538" i="1" a="1"/>
  <c r="K538" i="1"/>
  <c r="K539" i="1" a="1"/>
  <c r="K539" i="1"/>
  <c r="K540" i="1" a="1"/>
  <c r="K540" i="1"/>
  <c r="K541" i="1" a="1"/>
  <c r="K541" i="1"/>
  <c r="K542" i="1" a="1"/>
  <c r="K542" i="1"/>
  <c r="K543" i="1" a="1"/>
  <c r="K543" i="1"/>
  <c r="K544" i="1" a="1"/>
  <c r="K544" i="1"/>
  <c r="K545" i="1" a="1"/>
  <c r="K545" i="1"/>
  <c r="K546" i="1" a="1"/>
  <c r="K546" i="1"/>
  <c r="K547" i="1" a="1"/>
  <c r="K547" i="1"/>
  <c r="K548" i="1" a="1"/>
  <c r="K548" i="1"/>
  <c r="K549" i="1" a="1"/>
  <c r="K549" i="1"/>
  <c r="K550" i="1" a="1"/>
  <c r="K550" i="1"/>
  <c r="K551" i="1" a="1"/>
  <c r="K551" i="1"/>
  <c r="K552" i="1" a="1"/>
  <c r="K552" i="1"/>
  <c r="K553" i="1" a="1"/>
  <c r="K553" i="1"/>
  <c r="K554" i="1" a="1"/>
  <c r="K554" i="1"/>
  <c r="K555" i="1" a="1"/>
  <c r="K555" i="1"/>
  <c r="K556" i="1" a="1"/>
  <c r="K556" i="1"/>
  <c r="K557" i="1" a="1"/>
  <c r="K557" i="1"/>
  <c r="K558" i="1" a="1"/>
  <c r="K558" i="1"/>
  <c r="K559" i="1" a="1"/>
  <c r="K559" i="1"/>
  <c r="K560" i="1" a="1"/>
  <c r="K560" i="1"/>
  <c r="K561" i="1" a="1"/>
  <c r="K561" i="1"/>
  <c r="K562" i="1" a="1"/>
  <c r="K562" i="1"/>
  <c r="K563" i="1" a="1"/>
  <c r="K563" i="1"/>
  <c r="K564" i="1" a="1"/>
  <c r="K564" i="1"/>
  <c r="K565" i="1" a="1"/>
  <c r="K565" i="1"/>
  <c r="K566" i="1" a="1"/>
  <c r="K566" i="1"/>
  <c r="K567" i="1" a="1"/>
  <c r="K567" i="1"/>
  <c r="K568" i="1" a="1"/>
  <c r="K568" i="1"/>
  <c r="K569" i="1" a="1"/>
  <c r="K569" i="1"/>
  <c r="K570" i="1" a="1"/>
  <c r="K570" i="1"/>
  <c r="K571" i="1" a="1"/>
  <c r="K571" i="1"/>
  <c r="K572" i="1" a="1"/>
  <c r="K572" i="1"/>
  <c r="K573" i="1" a="1"/>
  <c r="K573" i="1"/>
  <c r="K574" i="1" a="1"/>
  <c r="K574" i="1"/>
  <c r="K575" i="1" a="1"/>
  <c r="K575" i="1"/>
  <c r="K576" i="1" a="1"/>
  <c r="K576" i="1"/>
  <c r="K577" i="1" a="1"/>
  <c r="K577" i="1"/>
  <c r="K578" i="1" a="1"/>
  <c r="K578" i="1"/>
  <c r="K579" i="1" a="1"/>
  <c r="K579" i="1"/>
  <c r="K580" i="1" a="1"/>
  <c r="K580" i="1"/>
  <c r="K581" i="1" a="1"/>
  <c r="K581" i="1"/>
  <c r="K582" i="1" a="1"/>
  <c r="K582" i="1"/>
  <c r="K583" i="1" a="1"/>
  <c r="K583" i="1"/>
  <c r="K584" i="1" a="1"/>
  <c r="K584" i="1"/>
  <c r="K585" i="1" a="1"/>
  <c r="K585" i="1"/>
  <c r="K586" i="1" a="1"/>
  <c r="K586" i="1"/>
  <c r="K587" i="1" a="1"/>
  <c r="K587" i="1"/>
  <c r="K588" i="1" a="1"/>
  <c r="K588" i="1"/>
  <c r="K589" i="1" a="1"/>
  <c r="K589" i="1"/>
  <c r="K590" i="1" a="1"/>
  <c r="K590" i="1"/>
  <c r="K591" i="1" a="1"/>
  <c r="K591" i="1"/>
  <c r="K592" i="1" a="1"/>
  <c r="K592" i="1"/>
  <c r="K593" i="1" a="1"/>
  <c r="K593" i="1"/>
  <c r="K594" i="1" a="1"/>
  <c r="K594" i="1"/>
  <c r="K595" i="1" a="1"/>
  <c r="K595" i="1"/>
  <c r="K596" i="1" a="1"/>
  <c r="K596" i="1"/>
  <c r="K597" i="1" a="1"/>
  <c r="K597" i="1"/>
  <c r="K598" i="1" a="1"/>
  <c r="K598" i="1"/>
  <c r="K599" i="1" a="1"/>
  <c r="K599" i="1"/>
  <c r="K600" i="1" a="1"/>
  <c r="K600" i="1"/>
  <c r="K601" i="1" a="1"/>
  <c r="K601" i="1"/>
  <c r="K602" i="1" a="1"/>
  <c r="K602" i="1"/>
  <c r="K603" i="1" a="1"/>
  <c r="K603" i="1"/>
  <c r="K604" i="1" a="1"/>
  <c r="K604" i="1"/>
  <c r="K605" i="1" a="1"/>
  <c r="K605" i="1"/>
  <c r="K606" i="1" a="1"/>
  <c r="K606" i="1"/>
  <c r="K607" i="1" a="1"/>
  <c r="K607" i="1"/>
  <c r="K608" i="1" a="1"/>
  <c r="K608" i="1"/>
  <c r="K609" i="1" a="1"/>
  <c r="K609" i="1"/>
  <c r="K610" i="1" a="1"/>
  <c r="K610" i="1"/>
  <c r="K611" i="1" a="1"/>
  <c r="K611" i="1"/>
  <c r="K612" i="1" a="1"/>
  <c r="K612" i="1"/>
  <c r="K613" i="1" a="1"/>
  <c r="K613" i="1"/>
  <c r="K614" i="1" a="1"/>
  <c r="K614" i="1"/>
  <c r="K615" i="1" a="1"/>
  <c r="K615" i="1"/>
  <c r="K616" i="1" a="1"/>
  <c r="K616" i="1"/>
  <c r="K617" i="1" a="1"/>
  <c r="K617" i="1"/>
  <c r="K618" i="1" a="1"/>
  <c r="K618" i="1"/>
  <c r="K619" i="1" a="1"/>
  <c r="K619" i="1"/>
  <c r="K620" i="1" a="1"/>
  <c r="K620" i="1"/>
  <c r="K621" i="1" a="1"/>
  <c r="K621" i="1"/>
  <c r="K622" i="1" a="1"/>
  <c r="K622" i="1"/>
  <c r="K623" i="1" a="1"/>
  <c r="K623" i="1"/>
  <c r="K624" i="1" a="1"/>
  <c r="K624" i="1"/>
  <c r="K625" i="1" a="1"/>
  <c r="K625" i="1"/>
  <c r="K626" i="1" a="1"/>
  <c r="K626" i="1"/>
  <c r="K627" i="1" a="1"/>
  <c r="K627" i="1"/>
  <c r="K628" i="1" a="1"/>
  <c r="K628" i="1"/>
  <c r="K629" i="1" a="1"/>
  <c r="K629" i="1"/>
  <c r="K630" i="1" a="1"/>
  <c r="K630" i="1"/>
  <c r="K631" i="1" a="1"/>
  <c r="K631" i="1"/>
  <c r="K632" i="1" a="1"/>
  <c r="K632" i="1"/>
  <c r="K633" i="1" a="1"/>
  <c r="K633" i="1"/>
  <c r="K634" i="1" a="1"/>
  <c r="K634" i="1"/>
  <c r="K635" i="1" a="1"/>
  <c r="K635" i="1"/>
  <c r="K636" i="1" a="1"/>
  <c r="K636" i="1"/>
  <c r="K637" i="1" a="1"/>
  <c r="K637" i="1"/>
  <c r="K638" i="1" a="1"/>
  <c r="K638" i="1"/>
  <c r="K639" i="1" a="1"/>
  <c r="K639" i="1"/>
  <c r="K640" i="1" a="1"/>
  <c r="K640" i="1"/>
  <c r="K641" i="1" a="1"/>
  <c r="K641" i="1"/>
  <c r="K642" i="1" a="1"/>
  <c r="K642" i="1"/>
  <c r="K643" i="1" a="1"/>
  <c r="K643" i="1"/>
  <c r="K644" i="1" a="1"/>
  <c r="K644" i="1"/>
  <c r="K645" i="1" a="1"/>
  <c r="K645" i="1"/>
  <c r="K646" i="1" a="1"/>
  <c r="K646" i="1"/>
  <c r="K647" i="1" a="1"/>
  <c r="K647" i="1"/>
  <c r="K648" i="1" a="1"/>
  <c r="K648" i="1"/>
  <c r="K649" i="1" a="1"/>
  <c r="K649" i="1"/>
  <c r="K650" i="1" a="1"/>
  <c r="K650" i="1"/>
  <c r="K651" i="1" a="1"/>
  <c r="K651" i="1"/>
  <c r="K652" i="1" a="1"/>
  <c r="K652" i="1"/>
  <c r="K653" i="1" a="1"/>
  <c r="K653" i="1"/>
  <c r="K654" i="1" a="1"/>
  <c r="K654" i="1"/>
  <c r="K655" i="1" a="1"/>
  <c r="K655" i="1"/>
  <c r="K656" i="1" a="1"/>
  <c r="K656" i="1"/>
  <c r="K657" i="1" a="1"/>
  <c r="K657" i="1"/>
  <c r="K658" i="1" a="1"/>
  <c r="K658" i="1"/>
  <c r="K659" i="1" a="1"/>
  <c r="K659" i="1"/>
  <c r="K660" i="1" a="1"/>
  <c r="K660" i="1"/>
  <c r="K661" i="1" a="1"/>
  <c r="K661" i="1"/>
  <c r="K662" i="1" a="1"/>
  <c r="K662" i="1"/>
  <c r="K663" i="1" a="1"/>
  <c r="K663" i="1"/>
  <c r="K664" i="1" a="1"/>
  <c r="K664" i="1"/>
  <c r="K665" i="1" a="1"/>
  <c r="K665" i="1"/>
  <c r="K666" i="1" a="1"/>
  <c r="K666" i="1"/>
  <c r="K667" i="1" a="1"/>
  <c r="K667" i="1"/>
  <c r="K668" i="1" a="1"/>
  <c r="K668" i="1"/>
  <c r="K669" i="1" a="1"/>
  <c r="K669" i="1"/>
  <c r="K670" i="1" a="1"/>
  <c r="K670" i="1"/>
  <c r="K671" i="1" a="1"/>
  <c r="K671" i="1"/>
  <c r="K672" i="1" a="1"/>
  <c r="K672" i="1"/>
  <c r="K673" i="1" a="1"/>
  <c r="K673" i="1"/>
  <c r="K674" i="1" a="1"/>
  <c r="K674" i="1"/>
  <c r="K675" i="1" a="1"/>
  <c r="K675" i="1"/>
  <c r="K676" i="1" a="1"/>
  <c r="K676" i="1"/>
  <c r="K677" i="1" a="1"/>
  <c r="K677" i="1"/>
  <c r="K678" i="1" a="1"/>
  <c r="K678" i="1"/>
  <c r="K679" i="1" a="1"/>
  <c r="K679" i="1"/>
  <c r="K680" i="1" a="1"/>
  <c r="K680" i="1"/>
  <c r="K681" i="1" a="1"/>
  <c r="K681" i="1"/>
  <c r="K682" i="1" a="1"/>
  <c r="K682" i="1"/>
  <c r="K683" i="1" a="1"/>
  <c r="K683" i="1"/>
  <c r="K684" i="1" a="1"/>
  <c r="K684" i="1"/>
  <c r="K685" i="1" a="1"/>
  <c r="K685" i="1"/>
  <c r="K686" i="1" a="1"/>
  <c r="K686" i="1"/>
  <c r="K687" i="1" a="1"/>
  <c r="K687" i="1"/>
  <c r="K688" i="1" a="1"/>
  <c r="K688" i="1"/>
  <c r="K689" i="1" a="1"/>
  <c r="K689" i="1"/>
  <c r="K690" i="1" a="1"/>
  <c r="K690" i="1"/>
  <c r="K691" i="1" a="1"/>
  <c r="K691" i="1"/>
  <c r="K692" i="1" a="1"/>
  <c r="K692" i="1"/>
  <c r="K693" i="1" a="1"/>
  <c r="K693" i="1"/>
  <c r="K694" i="1" a="1"/>
  <c r="K694" i="1"/>
  <c r="K695" i="1" a="1"/>
  <c r="K695" i="1"/>
  <c r="K696" i="1" a="1"/>
  <c r="K696" i="1"/>
  <c r="K697" i="1" a="1"/>
  <c r="K697" i="1"/>
  <c r="K698" i="1" a="1"/>
  <c r="K698" i="1"/>
  <c r="K699" i="1" a="1"/>
  <c r="K699" i="1"/>
  <c r="K700" i="1" a="1"/>
  <c r="K700" i="1"/>
  <c r="K701" i="1" a="1"/>
  <c r="K701" i="1"/>
  <c r="K702" i="1" a="1"/>
  <c r="K702" i="1"/>
  <c r="K703" i="1" a="1"/>
  <c r="K703" i="1"/>
  <c r="K704" i="1" a="1"/>
  <c r="K704" i="1"/>
  <c r="K705" i="1" a="1"/>
  <c r="K705" i="1"/>
  <c r="K706" i="1" a="1"/>
  <c r="K706" i="1"/>
  <c r="K707" i="1" a="1"/>
  <c r="K707" i="1"/>
  <c r="K708" i="1" a="1"/>
  <c r="K708" i="1"/>
  <c r="K709" i="1" a="1"/>
  <c r="K709" i="1"/>
  <c r="K710" i="1" a="1"/>
  <c r="K710" i="1"/>
  <c r="K711" i="1" a="1"/>
  <c r="K711" i="1"/>
  <c r="K712" i="1" a="1"/>
  <c r="K712" i="1"/>
  <c r="K713" i="1" a="1"/>
  <c r="K713" i="1"/>
  <c r="K714" i="1" a="1"/>
  <c r="K714" i="1"/>
  <c r="K715" i="1" a="1"/>
  <c r="K715" i="1"/>
  <c r="K716" i="1" a="1"/>
  <c r="K716" i="1"/>
  <c r="K717" i="1" a="1"/>
  <c r="K717" i="1"/>
  <c r="K718" i="1" a="1"/>
  <c r="K718" i="1"/>
  <c r="K719" i="1" a="1"/>
  <c r="K719" i="1"/>
  <c r="K720" i="1" a="1"/>
  <c r="K720" i="1"/>
  <c r="K721" i="1" a="1"/>
  <c r="K721" i="1"/>
  <c r="K722" i="1" a="1"/>
  <c r="K722" i="1"/>
  <c r="K723" i="1" a="1"/>
  <c r="K723" i="1"/>
  <c r="K724" i="1" a="1"/>
  <c r="K724" i="1"/>
  <c r="K725" i="1" a="1"/>
  <c r="K725" i="1"/>
  <c r="K726" i="1" a="1"/>
  <c r="K726" i="1"/>
  <c r="K727" i="1" a="1"/>
  <c r="K727" i="1"/>
  <c r="K728" i="1" a="1"/>
  <c r="K728" i="1"/>
  <c r="K729" i="1" a="1"/>
  <c r="K729" i="1"/>
  <c r="K730" i="1" a="1"/>
  <c r="K730" i="1"/>
  <c r="K731" i="1" a="1"/>
  <c r="K731" i="1"/>
  <c r="K732" i="1" a="1"/>
  <c r="K732" i="1"/>
  <c r="K733" i="1" a="1"/>
  <c r="K733" i="1"/>
  <c r="K734" i="1" a="1"/>
  <c r="K734" i="1"/>
  <c r="K735" i="1" a="1"/>
  <c r="K735" i="1"/>
  <c r="K736" i="1" a="1"/>
  <c r="K736" i="1"/>
  <c r="K737" i="1" a="1"/>
  <c r="K737" i="1"/>
  <c r="K738" i="1" a="1"/>
  <c r="K738" i="1"/>
  <c r="K739" i="1" a="1"/>
  <c r="K739" i="1"/>
  <c r="K740" i="1" a="1"/>
  <c r="K740" i="1"/>
  <c r="K741" i="1" a="1"/>
  <c r="K741" i="1"/>
  <c r="K742" i="1" a="1"/>
  <c r="K742" i="1"/>
  <c r="K743" i="1" a="1"/>
  <c r="K743" i="1"/>
  <c r="K744" i="1" a="1"/>
  <c r="K744" i="1"/>
  <c r="K745" i="1" a="1"/>
  <c r="K745" i="1"/>
  <c r="K746" i="1" a="1"/>
  <c r="K746" i="1"/>
  <c r="K747" i="1" a="1"/>
  <c r="K747" i="1"/>
  <c r="K748" i="1" a="1"/>
  <c r="K748" i="1"/>
  <c r="K749" i="1" a="1"/>
  <c r="K749" i="1"/>
  <c r="K750" i="1" a="1"/>
  <c r="K750" i="1"/>
  <c r="K751" i="1" a="1"/>
  <c r="K751" i="1"/>
  <c r="K752" i="1" a="1"/>
  <c r="K752" i="1"/>
  <c r="K753" i="1" a="1"/>
  <c r="K753" i="1"/>
  <c r="K754" i="1" a="1"/>
  <c r="K754" i="1"/>
  <c r="K755" i="1" a="1"/>
  <c r="K755" i="1"/>
  <c r="K756" i="1" a="1"/>
  <c r="K756" i="1"/>
  <c r="K757" i="1" a="1"/>
  <c r="K757" i="1"/>
  <c r="K758" i="1" a="1"/>
  <c r="K758" i="1"/>
  <c r="K759" i="1" a="1"/>
  <c r="K759" i="1"/>
  <c r="K760" i="1" a="1"/>
  <c r="K760" i="1"/>
  <c r="K761" i="1" a="1"/>
  <c r="K761" i="1"/>
  <c r="K12" i="1" a="1"/>
  <c r="K12" i="1"/>
  <c r="K13" i="1" a="1"/>
  <c r="K13" i="1"/>
  <c r="K14" i="1" a="1"/>
  <c r="K14" i="1"/>
  <c r="K15" i="1" a="1"/>
  <c r="K15" i="1"/>
  <c r="K16" i="1" a="1"/>
  <c r="K16" i="1"/>
  <c r="K17" i="1" a="1"/>
  <c r="K17" i="1"/>
  <c r="K18" i="1" a="1"/>
  <c r="K18" i="1"/>
  <c r="K19" i="1" a="1"/>
  <c r="K19" i="1"/>
  <c r="K20" i="1" a="1"/>
  <c r="K20" i="1"/>
  <c r="K21" i="1" a="1"/>
  <c r="K21" i="1"/>
  <c r="K8" i="1" a="1"/>
  <c r="K8" i="1"/>
  <c r="K9" i="1" a="1"/>
  <c r="K9" i="1"/>
  <c r="K10" i="1" a="1"/>
  <c r="K10" i="1"/>
  <c r="K11" i="1" a="1"/>
  <c r="K11" i="1"/>
  <c r="K3" i="1" a="1"/>
  <c r="K3" i="1"/>
  <c r="K4" i="1" a="1"/>
  <c r="K4" i="1"/>
  <c r="K5" i="1" a="1"/>
  <c r="K5" i="1"/>
  <c r="K6" i="1" a="1"/>
  <c r="K6" i="1"/>
  <c r="K7" i="1" a="1"/>
  <c r="K7" i="1"/>
  <c r="K2" i="1" a="1"/>
  <c r="K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48" i="1"/>
  <c r="C2" i="1"/>
  <c r="C965" i="1"/>
  <c r="C924" i="1"/>
  <c r="C881" i="1"/>
  <c r="C878" i="1"/>
  <c r="C810" i="1"/>
  <c r="C602" i="1"/>
  <c r="C463" i="1"/>
  <c r="C454" i="1"/>
  <c r="C433" i="1"/>
  <c r="C401" i="1"/>
  <c r="C399" i="1"/>
  <c r="C311" i="1"/>
  <c r="C284" i="1"/>
  <c r="C275" i="1"/>
  <c r="O3" i="1" l="1"/>
  <c r="O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<sst xmlns="http://schemas.openxmlformats.org/spreadsheetml/2006/main" count="7578" uniqueCount="2090">
  <si>
    <t>Freelancer_ID</t>
  </si>
  <si>
    <t>name_raw</t>
  </si>
  <si>
    <t>Full Name</t>
  </si>
  <si>
    <t>gender_raw</t>
  </si>
  <si>
    <t>Gender</t>
  </si>
  <si>
    <t>Age</t>
  </si>
  <si>
    <t>Country</t>
  </si>
  <si>
    <t>Language</t>
  </si>
  <si>
    <t>Primary Skill</t>
  </si>
  <si>
    <t>Years of Experience</t>
  </si>
  <si>
    <t>Experience (Buckets)</t>
  </si>
  <si>
    <t>hourly_rate (USD)_raw</t>
  </si>
  <si>
    <t>HR Rate</t>
  </si>
  <si>
    <t>Hourly Rate</t>
  </si>
  <si>
    <t>Rating</t>
  </si>
  <si>
    <t>is_active_raw</t>
  </si>
  <si>
    <t>Status</t>
  </si>
  <si>
    <t>client_satisfaction</t>
  </si>
  <si>
    <t>Customer Satisfaction</t>
  </si>
  <si>
    <t>FL250991</t>
  </si>
  <si>
    <t>Michelle Solis</t>
  </si>
  <si>
    <t>FEMALE</t>
  </si>
  <si>
    <t>Female</t>
  </si>
  <si>
    <t>Argentina</t>
  </si>
  <si>
    <t>Spanish</t>
  </si>
  <si>
    <t>AI</t>
  </si>
  <si>
    <t>0-5</t>
  </si>
  <si>
    <t>yes</t>
  </si>
  <si>
    <t>Active</t>
  </si>
  <si>
    <t>FL250964</t>
  </si>
  <si>
    <t>Mr. Robert Meza</t>
  </si>
  <si>
    <t>male</t>
  </si>
  <si>
    <t>Male</t>
  </si>
  <si>
    <t>Germany</t>
  </si>
  <si>
    <t>German</t>
  </si>
  <si>
    <t>FL250957</t>
  </si>
  <si>
    <t>Rhonda Hines</t>
  </si>
  <si>
    <t>f</t>
  </si>
  <si>
    <t>Australia</t>
  </si>
  <si>
    <t>English</t>
  </si>
  <si>
    <t>USD 100</t>
  </si>
  <si>
    <t>FL250947</t>
  </si>
  <si>
    <t>Thomas Jackson</t>
  </si>
  <si>
    <t>m</t>
  </si>
  <si>
    <t>Mexico</t>
  </si>
  <si>
    <t>FL250942</t>
  </si>
  <si>
    <t>Nancy Glover</t>
  </si>
  <si>
    <t>Brazil</t>
  </si>
  <si>
    <t>Portuguese</t>
  </si>
  <si>
    <t>11-15</t>
  </si>
  <si>
    <t>FL250006</t>
  </si>
  <si>
    <t>Lisa Johnson</t>
  </si>
  <si>
    <t>Netherlands</t>
  </si>
  <si>
    <t>Dutch</t>
  </si>
  <si>
    <t>Not Active</t>
  </si>
  <si>
    <t>FL250937</t>
  </si>
  <si>
    <t>Anne Hampton</t>
  </si>
  <si>
    <t>Y</t>
  </si>
  <si>
    <t>FL250933</t>
  </si>
  <si>
    <t>Anthony Walter</t>
  </si>
  <si>
    <t>FL250923</t>
  </si>
  <si>
    <t>Mrs. Amy Brooks</t>
  </si>
  <si>
    <t>South Korea</t>
  </si>
  <si>
    <t>Korean</t>
  </si>
  <si>
    <t>N</t>
  </si>
  <si>
    <t>FL250010</t>
  </si>
  <si>
    <t>Matthew Lloyd</t>
  </si>
  <si>
    <t>Turkey</t>
  </si>
  <si>
    <t>Turkish</t>
  </si>
  <si>
    <t>21+</t>
  </si>
  <si>
    <t>FL250908</t>
  </si>
  <si>
    <t>Kristen Haney</t>
  </si>
  <si>
    <t>USD 30</t>
  </si>
  <si>
    <t>FL250898</t>
  </si>
  <si>
    <t>Randall Barrett</t>
  </si>
  <si>
    <t>6-10</t>
  </si>
  <si>
    <t>FL250883</t>
  </si>
  <si>
    <t>Allen Turner</t>
  </si>
  <si>
    <t>USD 20</t>
  </si>
  <si>
    <t>FL250880</t>
  </si>
  <si>
    <t>Mrs. Jessica Williams DVM</t>
  </si>
  <si>
    <t>no</t>
  </si>
  <si>
    <t>FL250876</t>
  </si>
  <si>
    <t>Mary Ward</t>
  </si>
  <si>
    <t>Spain</t>
  </si>
  <si>
    <t>NA</t>
  </si>
  <si>
    <t>FL250862</t>
  </si>
  <si>
    <t>Christopher Johnson</t>
  </si>
  <si>
    <t>Japan</t>
  </si>
  <si>
    <t>Japanese</t>
  </si>
  <si>
    <t>FL250855</t>
  </si>
  <si>
    <t>Evan Soto</t>
  </si>
  <si>
    <t>USD 75</t>
  </si>
  <si>
    <t>FL250848</t>
  </si>
  <si>
    <t>John Nguyen</t>
  </si>
  <si>
    <t>Russia</t>
  </si>
  <si>
    <t>Russian</t>
  </si>
  <si>
    <t>FL250837</t>
  </si>
  <si>
    <t>Robin Ortiz</t>
  </si>
  <si>
    <t>USD 40</t>
  </si>
  <si>
    <t>FL250835</t>
  </si>
  <si>
    <t>Brian Bailey</t>
  </si>
  <si>
    <t>FL250021</t>
  </si>
  <si>
    <t>James Cherry</t>
  </si>
  <si>
    <t>Indonesia</t>
  </si>
  <si>
    <t>Indonesian</t>
  </si>
  <si>
    <t>FL250831</t>
  </si>
  <si>
    <t>Diana Ferguson</t>
  </si>
  <si>
    <t>FL250830</t>
  </si>
  <si>
    <t>Scott Long</t>
  </si>
  <si>
    <t>FL250825</t>
  </si>
  <si>
    <t>William Harris</t>
  </si>
  <si>
    <t>USD 50</t>
  </si>
  <si>
    <t>FL250823</t>
  </si>
  <si>
    <t>Erin Martin</t>
  </si>
  <si>
    <t>FL250811</t>
  </si>
  <si>
    <t>Russell Carpenter</t>
  </si>
  <si>
    <t>Egypt</t>
  </si>
  <si>
    <t>Arabic</t>
  </si>
  <si>
    <t>FL250805</t>
  </si>
  <si>
    <t>Mark Ward</t>
  </si>
  <si>
    <t>FL250793</t>
  </si>
  <si>
    <t>Kelly Lawson</t>
  </si>
  <si>
    <t>FL250029</t>
  </si>
  <si>
    <t>Megan Jones</t>
  </si>
  <si>
    <t>Canada</t>
  </si>
  <si>
    <t>FL250759</t>
  </si>
  <si>
    <t>Brandon Fox</t>
  </si>
  <si>
    <t>FL250757</t>
  </si>
  <si>
    <t>Kellie Le</t>
  </si>
  <si>
    <t>FL250755</t>
  </si>
  <si>
    <t>Diane Dean</t>
  </si>
  <si>
    <t>France</t>
  </si>
  <si>
    <t>French</t>
  </si>
  <si>
    <t>FL250033</t>
  </si>
  <si>
    <t>Robert Nelson</t>
  </si>
  <si>
    <t>FL250034</t>
  </si>
  <si>
    <t>Michael Anderson</t>
  </si>
  <si>
    <t>FL250751</t>
  </si>
  <si>
    <t>Ryan Taylor</t>
  </si>
  <si>
    <t>FL250746</t>
  </si>
  <si>
    <t>Carl Kline</t>
  </si>
  <si>
    <t>FL250745</t>
  </si>
  <si>
    <t>Mark Clark</t>
  </si>
  <si>
    <t>FL250743</t>
  </si>
  <si>
    <t>Eric Nguyen</t>
  </si>
  <si>
    <t>India</t>
  </si>
  <si>
    <t>Hindi</t>
  </si>
  <si>
    <t>FL250738</t>
  </si>
  <si>
    <t>Gregory Waters</t>
  </si>
  <si>
    <t>FL250714</t>
  </si>
  <si>
    <t>Christina Wright</t>
  </si>
  <si>
    <t>United Kingdom</t>
  </si>
  <si>
    <t>FL250041</t>
  </si>
  <si>
    <t>Angelica Rogers</t>
  </si>
  <si>
    <t>FL250710</t>
  </si>
  <si>
    <t>David Griffin</t>
  </si>
  <si>
    <t>FL250679</t>
  </si>
  <si>
    <t>Ernest Cole</t>
  </si>
  <si>
    <t>FL250674</t>
  </si>
  <si>
    <t>Jacob Jones</t>
  </si>
  <si>
    <t>FL250668</t>
  </si>
  <si>
    <t>Elizabeth Phillips</t>
  </si>
  <si>
    <t>FL250659</t>
  </si>
  <si>
    <t>Richard Dominguez</t>
  </si>
  <si>
    <t>China</t>
  </si>
  <si>
    <t>Mandarin</t>
  </si>
  <si>
    <t>FL250652</t>
  </si>
  <si>
    <t>John Arroyo</t>
  </si>
  <si>
    <t>FL250651</t>
  </si>
  <si>
    <t>Zachary Ochoa</t>
  </si>
  <si>
    <t>FL250645</t>
  </si>
  <si>
    <t>Ashley Kemp</t>
  </si>
  <si>
    <t>FL250641</t>
  </si>
  <si>
    <t>David Watson</t>
  </si>
  <si>
    <t>FL250629</t>
  </si>
  <si>
    <t>Summer Williams</t>
  </si>
  <si>
    <t>South Africa</t>
  </si>
  <si>
    <t>Afrikaans</t>
  </si>
  <si>
    <t>FL250604</t>
  </si>
  <si>
    <t>Martha Carson</t>
  </si>
  <si>
    <t>FL250602</t>
  </si>
  <si>
    <t>Ryan Ewing</t>
  </si>
  <si>
    <t>United States</t>
  </si>
  <si>
    <t>FL250589</t>
  </si>
  <si>
    <t>Michele Duran</t>
  </si>
  <si>
    <t>FL250576</t>
  </si>
  <si>
    <t>Justin Lang</t>
  </si>
  <si>
    <t>FL250056</t>
  </si>
  <si>
    <t>Larry Simpson</t>
  </si>
  <si>
    <t>FL250574</t>
  </si>
  <si>
    <t>Ariana Pittman</t>
  </si>
  <si>
    <t>FL250058</t>
  </si>
  <si>
    <t>Mark Wright</t>
  </si>
  <si>
    <t>16-20</t>
  </si>
  <si>
    <t>FL250572</t>
  </si>
  <si>
    <t>Tonya Gonzalez</t>
  </si>
  <si>
    <t>FL250551</t>
  </si>
  <si>
    <t>Cassandra Stephens</t>
  </si>
  <si>
    <t>FL250061</t>
  </si>
  <si>
    <t>Courtney Tran</t>
  </si>
  <si>
    <t>FL250062</t>
  </si>
  <si>
    <t>Eddie Todd</t>
  </si>
  <si>
    <t>FL250548</t>
  </si>
  <si>
    <t>Ricky Martinez</t>
  </si>
  <si>
    <t>FL250533</t>
  </si>
  <si>
    <t>Thomas Dixon</t>
  </si>
  <si>
    <t>FL250065</t>
  </si>
  <si>
    <t>Rebekah Williams</t>
  </si>
  <si>
    <t>FL250518</t>
  </si>
  <si>
    <t>Danielle Adkins</t>
  </si>
  <si>
    <t>FL250067</t>
  </si>
  <si>
    <t>Ashley Cordova</t>
  </si>
  <si>
    <t>FL250517</t>
  </si>
  <si>
    <t>Diana Chase</t>
  </si>
  <si>
    <t>FL250506</t>
  </si>
  <si>
    <t>Dillon Henry</t>
  </si>
  <si>
    <t>FL250496</t>
  </si>
  <si>
    <t>Lance Lester</t>
  </si>
  <si>
    <t>FL250454</t>
  </si>
  <si>
    <t>Curtis Maxwell</t>
  </si>
  <si>
    <t>FL250452</t>
  </si>
  <si>
    <t>Stephanie Armstrong</t>
  </si>
  <si>
    <t>FL250449</t>
  </si>
  <si>
    <t>Amanda Jacobs</t>
  </si>
  <si>
    <t>FL250447</t>
  </si>
  <si>
    <t>Steven Whitaker</t>
  </si>
  <si>
    <t>FL250442</t>
  </si>
  <si>
    <t>Timothy Wright</t>
  </si>
  <si>
    <t>FL250432</t>
  </si>
  <si>
    <t>Dr. Paul Williamson</t>
  </si>
  <si>
    <t>FL250077</t>
  </si>
  <si>
    <t>Timothy Lee</t>
  </si>
  <si>
    <t>FL250430</t>
  </si>
  <si>
    <t>Donna Davis</t>
  </si>
  <si>
    <t>FL250425</t>
  </si>
  <si>
    <t>Regina Daniel</t>
  </si>
  <si>
    <t>FL250419</t>
  </si>
  <si>
    <t>Kathleen Quinn</t>
  </si>
  <si>
    <t>FL250408</t>
  </si>
  <si>
    <t>Steven Norris</t>
  </si>
  <si>
    <t>FL250407</t>
  </si>
  <si>
    <t>Dustin Douglas</t>
  </si>
  <si>
    <t>FL250392</t>
  </si>
  <si>
    <t>Isaac Gray</t>
  </si>
  <si>
    <t>FL250380</t>
  </si>
  <si>
    <t>Anthony Avila</t>
  </si>
  <si>
    <t>FL250085</t>
  </si>
  <si>
    <t>Austin Jenkins</t>
  </si>
  <si>
    <t>FL250367</t>
  </si>
  <si>
    <t>Brandon Williams</t>
  </si>
  <si>
    <t>FL250342</t>
  </si>
  <si>
    <t>Clarence Vega</t>
  </si>
  <si>
    <t>Italy</t>
  </si>
  <si>
    <t>Italian</t>
  </si>
  <si>
    <t>FL250329</t>
  </si>
  <si>
    <t>Mike Dean</t>
  </si>
  <si>
    <t>FL250089</t>
  </si>
  <si>
    <t>Ronald Barrett</t>
  </si>
  <si>
    <t>FL250268</t>
  </si>
  <si>
    <t>Julie White</t>
  </si>
  <si>
    <t>FL250242</t>
  </si>
  <si>
    <t>Sarah Ho</t>
  </si>
  <si>
    <t>FL250241</t>
  </si>
  <si>
    <t>Christopher Guerra</t>
  </si>
  <si>
    <t>FL250238</t>
  </si>
  <si>
    <t>Daniel Harrington</t>
  </si>
  <si>
    <t>FL250223</t>
  </si>
  <si>
    <t>Michelle Hill</t>
  </si>
  <si>
    <t>FL250201</t>
  </si>
  <si>
    <t>Jill Stephens</t>
  </si>
  <si>
    <t>FL250178</t>
  </si>
  <si>
    <t>Michael Black</t>
  </si>
  <si>
    <t>FL250146</t>
  </si>
  <si>
    <t>Ashley Chen</t>
  </si>
  <si>
    <t>FL250116</t>
  </si>
  <si>
    <t>Jessica Torres</t>
  </si>
  <si>
    <t>FL250115</t>
  </si>
  <si>
    <t>Robert Andrews</t>
  </si>
  <si>
    <t>FL250110</t>
  </si>
  <si>
    <t>Kimberly Griffin</t>
  </si>
  <si>
    <t>Average of Rating</t>
  </si>
  <si>
    <t>Count of Freelancer_ID</t>
  </si>
  <si>
    <t>DevOps</t>
  </si>
  <si>
    <t>Machine Learning</t>
  </si>
  <si>
    <t>Mobile Apps</t>
  </si>
  <si>
    <t>UI/UX Design</t>
  </si>
  <si>
    <t>Graphic Design</t>
  </si>
  <si>
    <t>Cybersecurity</t>
  </si>
  <si>
    <t>Grand Total</t>
  </si>
  <si>
    <t>Web Development</t>
  </si>
  <si>
    <t>Data Analysis</t>
  </si>
  <si>
    <t>Blockchain Development</t>
  </si>
  <si>
    <t>FL250001</t>
  </si>
  <si>
    <t>Ms. Nicole Kidd</t>
  </si>
  <si>
    <t>FL250002</t>
  </si>
  <si>
    <t>Vanessa Garcia</t>
  </si>
  <si>
    <t>FL250003</t>
  </si>
  <si>
    <t>Juan Nelson</t>
  </si>
  <si>
    <t>FL250004</t>
  </si>
  <si>
    <t>Amanda Spencer</t>
  </si>
  <si>
    <t>F</t>
  </si>
  <si>
    <t>FL250005</t>
  </si>
  <si>
    <t>Lynn Curtis DDS</t>
  </si>
  <si>
    <t>female</t>
  </si>
  <si>
    <t>FL250007</t>
  </si>
  <si>
    <t>Eric Myers</t>
  </si>
  <si>
    <t>FL250008</t>
  </si>
  <si>
    <t>Ricky Graham</t>
  </si>
  <si>
    <t>FL250009</t>
  </si>
  <si>
    <t>Sean Martin</t>
  </si>
  <si>
    <t>MALE</t>
  </si>
  <si>
    <t>FL250011</t>
  </si>
  <si>
    <t>Gavin Randall</t>
  </si>
  <si>
    <t>FL250012</t>
  </si>
  <si>
    <t>Michelle Curtis</t>
  </si>
  <si>
    <t>FL250013</t>
  </si>
  <si>
    <t>Alice Schneider</t>
  </si>
  <si>
    <t>FL250014</t>
  </si>
  <si>
    <t>Phillip Shelton</t>
  </si>
  <si>
    <t>FL250015</t>
  </si>
  <si>
    <t>Edward Ferguson</t>
  </si>
  <si>
    <t>FL250016</t>
  </si>
  <si>
    <t>Wyatt Stout</t>
  </si>
  <si>
    <t>FL250017</t>
  </si>
  <si>
    <t>Laura Johnson</t>
  </si>
  <si>
    <t>FL250018</t>
  </si>
  <si>
    <t>Scott Burns</t>
  </si>
  <si>
    <t>M</t>
  </si>
  <si>
    <t>FL250019</t>
  </si>
  <si>
    <t>Tyler Aguirre</t>
  </si>
  <si>
    <t>FL250020</t>
  </si>
  <si>
    <t>Matthew Lawson</t>
  </si>
  <si>
    <t>FL250022</t>
  </si>
  <si>
    <t>Samuel Sanford</t>
  </si>
  <si>
    <t>FL250023</t>
  </si>
  <si>
    <t>Cesar Greene</t>
  </si>
  <si>
    <t>FL250024</t>
  </si>
  <si>
    <t>Melanie Carter</t>
  </si>
  <si>
    <t>FL250025</t>
  </si>
  <si>
    <t>Jennifer Martin</t>
  </si>
  <si>
    <t>FL250026</t>
  </si>
  <si>
    <t>Anna Mccann</t>
  </si>
  <si>
    <t>FL250027</t>
  </si>
  <si>
    <t>Marissa Bass</t>
  </si>
  <si>
    <t>FL250028</t>
  </si>
  <si>
    <t>Alexis Day</t>
  </si>
  <si>
    <t>FL250030</t>
  </si>
  <si>
    <t>Lori Smith</t>
  </si>
  <si>
    <t>FL250031</t>
  </si>
  <si>
    <t>Eric Carpenter</t>
  </si>
  <si>
    <t>FL250032</t>
  </si>
  <si>
    <t>Timothy Daniels</t>
  </si>
  <si>
    <t>FL250035</t>
  </si>
  <si>
    <t>Jessica Snyder</t>
  </si>
  <si>
    <t>FL250036</t>
  </si>
  <si>
    <t>Emily Daniels</t>
  </si>
  <si>
    <t>FL250037</t>
  </si>
  <si>
    <t>Jamie Ramirez</t>
  </si>
  <si>
    <t>FL250038</t>
  </si>
  <si>
    <t>Amy Harrison</t>
  </si>
  <si>
    <t>FL250039</t>
  </si>
  <si>
    <t>Melinda White</t>
  </si>
  <si>
    <t>FL250040</t>
  </si>
  <si>
    <t>James Hernandez</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</si>
  <si>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</si>
  <si>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</si>
  <si>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</si>
  <si>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</si>
  <si>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</si>
  <si>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</si>
  <si>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</si>
  <si>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</si>
  <si>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</si>
  <si>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</si>
  <si>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</si>
  <si>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</si>
  <si>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</si>
  <si>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</si>
  <si>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FL250049</t>
  </si>
  <si>
    <t>Dominique Ward</t>
  </si>
  <si>
    <t>FL250050</t>
  </si>
  <si>
    <t>Lance Griffin</t>
  </si>
  <si>
    <t>FL250051</t>
  </si>
  <si>
    <t>Julie Burgess</t>
  </si>
  <si>
    <t>FL250052</t>
  </si>
  <si>
    <t>Don Scott</t>
  </si>
  <si>
    <t>FL250053</t>
  </si>
  <si>
    <t>Kyle Atkinson</t>
  </si>
  <si>
    <t>FL250054</t>
  </si>
  <si>
    <t>Jimmy Hogan</t>
  </si>
  <si>
    <t>FL250055</t>
  </si>
  <si>
    <t>Jennifer Mcintyre</t>
  </si>
  <si>
    <t>FL250057</t>
  </si>
  <si>
    <t>Laura Price</t>
  </si>
  <si>
    <t>FL250059</t>
  </si>
  <si>
    <t>Samantha Mcdaniel</t>
  </si>
  <si>
    <t>FL250060</t>
  </si>
  <si>
    <t>Barbara Foster</t>
  </si>
  <si>
    <t>FL250063</t>
  </si>
  <si>
    <t>Christine Johnson</t>
  </si>
  <si>
    <t>FL250064</t>
  </si>
  <si>
    <t>Leah Phelps</t>
  </si>
  <si>
    <t>FL250066</t>
  </si>
  <si>
    <t>Crystal Wilson</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</si>
  <si>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</si>
  <si>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</si>
  <si>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</si>
  <si>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</si>
  <si>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</si>
  <si>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</si>
  <si>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</si>
  <si>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</si>
  <si>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</si>
  <si>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</si>
  <si>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</si>
  <si>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</si>
  <si>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</si>
  <si>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</si>
  <si>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</si>
  <si>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</si>
  <si>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</si>
  <si>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</si>
  <si>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</si>
  <si>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</si>
  <si>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</si>
  <si>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</si>
  <si>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</si>
  <si>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</si>
  <si>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</si>
  <si>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</si>
  <si>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</si>
  <si>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</si>
  <si>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</si>
  <si>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</si>
  <si>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</si>
  <si>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</si>
  <si>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FL250086</t>
  </si>
  <si>
    <t>Brenda Green</t>
  </si>
  <si>
    <t>FL250087</t>
  </si>
  <si>
    <t>Samuel Pierce</t>
  </si>
  <si>
    <t>FL250088</t>
  </si>
  <si>
    <t>Briana Smith</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</si>
  <si>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</si>
  <si>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</si>
  <si>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</si>
  <si>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</si>
  <si>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</si>
  <si>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</si>
  <si>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</si>
  <si>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</si>
  <si>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</si>
  <si>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</si>
  <si>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</si>
  <si>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</si>
  <si>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</si>
  <si>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</si>
  <si>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</si>
  <si>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</si>
  <si>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</si>
  <si>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</si>
  <si>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</si>
  <si>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</si>
  <si>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</si>
  <si>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</si>
  <si>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</si>
  <si>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</si>
  <si>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</si>
  <si>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</si>
  <si>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</si>
  <si>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</si>
  <si>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</si>
  <si>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</si>
  <si>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</si>
  <si>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</si>
  <si>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</si>
  <si>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</si>
  <si>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</si>
  <si>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</si>
  <si>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</si>
  <si>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</si>
  <si>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</si>
  <si>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</si>
  <si>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FL250111</t>
  </si>
  <si>
    <t>Tyler Warner</t>
  </si>
  <si>
    <t>FL250112</t>
  </si>
  <si>
    <t>Jane Cox</t>
  </si>
  <si>
    <t>FL250113</t>
  </si>
  <si>
    <t>Leah Williams</t>
  </si>
  <si>
    <t>FL250114</t>
  </si>
  <si>
    <t>Kevin Wong</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</si>
  <si>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</si>
  <si>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</si>
  <si>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</si>
  <si>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</si>
  <si>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</si>
  <si>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</si>
  <si>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</si>
  <si>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</si>
  <si>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</si>
  <si>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</si>
  <si>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</si>
  <si>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</si>
  <si>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</si>
  <si>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</si>
  <si>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</si>
  <si>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</si>
  <si>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</si>
  <si>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</si>
  <si>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</si>
  <si>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</si>
  <si>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</si>
  <si>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</si>
  <si>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</si>
  <si>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</si>
  <si>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</si>
  <si>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</si>
  <si>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</si>
  <si>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</si>
  <si>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</si>
  <si>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</si>
  <si>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</si>
  <si>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</si>
  <si>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</si>
  <si>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</si>
  <si>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</si>
  <si>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</si>
  <si>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</si>
  <si>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</si>
  <si>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</si>
  <si>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</si>
  <si>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</si>
  <si>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</si>
  <si>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</si>
  <si>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</si>
  <si>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</si>
  <si>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</si>
  <si>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</si>
  <si>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</si>
  <si>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</si>
  <si>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</si>
  <si>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</si>
  <si>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</si>
  <si>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</si>
  <si>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</si>
  <si>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</si>
  <si>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</si>
  <si>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</si>
  <si>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</si>
  <si>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</si>
  <si>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</si>
  <si>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</si>
  <si>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</si>
  <si>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</si>
  <si>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</si>
  <si>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</si>
  <si>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</si>
  <si>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</si>
  <si>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</si>
  <si>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</si>
  <si>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</si>
  <si>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</si>
  <si>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</si>
  <si>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</si>
  <si>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</si>
  <si>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</si>
  <si>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</si>
  <si>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</si>
  <si>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</si>
  <si>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</si>
  <si>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</si>
  <si>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</si>
  <si>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</si>
  <si>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</si>
  <si>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</si>
  <si>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</si>
  <si>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</si>
  <si>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</si>
  <si>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</si>
  <si>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</si>
  <si>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</si>
  <si>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</si>
  <si>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</si>
  <si>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</si>
  <si>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</si>
  <si>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</si>
  <si>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</si>
  <si>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</si>
  <si>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</si>
  <si>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</si>
  <si>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</si>
  <si>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</si>
  <si>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</si>
  <si>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</si>
  <si>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</si>
  <si>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</si>
  <si>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</si>
  <si>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</si>
  <si>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</si>
  <si>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</si>
  <si>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</si>
  <si>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</si>
  <si>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</si>
  <si>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</si>
  <si>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</si>
  <si>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</si>
  <si>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</si>
  <si>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</si>
  <si>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</si>
  <si>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</si>
  <si>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</si>
  <si>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</si>
  <si>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</si>
  <si>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</si>
  <si>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</si>
  <si>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</si>
  <si>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</si>
  <si>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</si>
  <si>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</si>
  <si>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</si>
  <si>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</si>
  <si>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</si>
  <si>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</si>
  <si>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</si>
  <si>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</si>
  <si>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</si>
  <si>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</si>
  <si>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</si>
  <si>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</si>
  <si>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</si>
  <si>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</si>
  <si>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</si>
  <si>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</si>
  <si>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</si>
  <si>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</si>
  <si>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</si>
  <si>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</si>
  <si>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</si>
  <si>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</si>
  <si>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</si>
  <si>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</si>
  <si>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</si>
  <si>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</si>
  <si>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</si>
  <si>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</si>
  <si>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</si>
  <si>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</si>
  <si>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</si>
  <si>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</si>
  <si>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</si>
  <si>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</si>
  <si>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</si>
  <si>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</si>
  <si>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</si>
  <si>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</si>
  <si>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</si>
  <si>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</si>
  <si>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</si>
  <si>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</si>
  <si>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</si>
  <si>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</si>
  <si>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</si>
  <si>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</si>
  <si>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</si>
  <si>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</si>
  <si>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</si>
  <si>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</si>
  <si>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</si>
  <si>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</si>
  <si>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</si>
  <si>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</si>
  <si>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</si>
  <si>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</si>
  <si>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</si>
  <si>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</si>
  <si>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</si>
  <si>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</si>
  <si>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</si>
  <si>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</si>
  <si>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</si>
  <si>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</si>
  <si>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</si>
  <si>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</si>
  <si>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</si>
  <si>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</si>
  <si>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</si>
  <si>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</si>
  <si>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</si>
  <si>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</si>
  <si>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</si>
  <si>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</si>
  <si>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</si>
  <si>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</si>
  <si>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</si>
  <si>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</si>
  <si>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</si>
  <si>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</si>
  <si>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</si>
  <si>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</si>
  <si>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</si>
  <si>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</si>
  <si>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</si>
  <si>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</si>
  <si>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</si>
  <si>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</si>
  <si>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</si>
  <si>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</si>
  <si>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</si>
  <si>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</si>
  <si>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</si>
  <si>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</si>
  <si>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</si>
  <si>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</si>
  <si>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</si>
  <si>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</si>
  <si>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</si>
  <si>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</si>
  <si>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</si>
  <si>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</si>
  <si>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</si>
  <si>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</si>
  <si>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</si>
  <si>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</si>
  <si>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</si>
  <si>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FL250239</t>
  </si>
  <si>
    <t>Daniel Barnett</t>
  </si>
  <si>
    <t>FL250240</t>
  </si>
  <si>
    <t>Mark Cummings</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</si>
  <si>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</si>
  <si>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</si>
  <si>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</si>
  <si>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</si>
  <si>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</si>
  <si>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</si>
  <si>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</si>
  <si>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</si>
  <si>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</si>
  <si>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</si>
  <si>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</si>
  <si>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</si>
  <si>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</si>
  <si>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</si>
  <si>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</si>
  <si>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</si>
  <si>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</si>
  <si>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</si>
  <si>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</si>
  <si>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</si>
  <si>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</si>
  <si>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</si>
  <si>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</si>
  <si>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</si>
  <si>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</si>
  <si>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</si>
  <si>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</si>
  <si>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</si>
  <si>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</si>
  <si>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</si>
  <si>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</si>
  <si>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</si>
  <si>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</si>
  <si>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</si>
  <si>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</si>
  <si>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</si>
  <si>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</si>
  <si>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</si>
  <si>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</si>
  <si>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</si>
  <si>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</si>
  <si>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</si>
  <si>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</si>
  <si>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</si>
  <si>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</si>
  <si>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</si>
  <si>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</si>
  <si>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</si>
  <si>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</si>
  <si>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</si>
  <si>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</si>
  <si>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</si>
  <si>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</si>
  <si>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</si>
  <si>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</si>
  <si>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</si>
  <si>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</si>
  <si>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</si>
  <si>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</si>
  <si>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</si>
  <si>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</si>
  <si>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</si>
  <si>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</si>
  <si>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</si>
  <si>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</si>
  <si>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</si>
  <si>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</si>
  <si>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</si>
  <si>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</si>
  <si>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</si>
  <si>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</si>
  <si>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</si>
  <si>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</si>
  <si>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</si>
  <si>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</si>
  <si>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</si>
  <si>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</si>
  <si>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</si>
  <si>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</si>
  <si>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</si>
  <si>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</si>
  <si>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</si>
  <si>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</si>
  <si>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</si>
  <si>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</si>
  <si>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</si>
  <si>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</si>
  <si>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</si>
  <si>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</si>
  <si>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</si>
  <si>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</si>
  <si>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</si>
  <si>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</si>
  <si>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</si>
  <si>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</si>
  <si>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</si>
  <si>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</si>
  <si>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</si>
  <si>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</si>
  <si>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</si>
  <si>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</si>
  <si>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</si>
  <si>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</si>
  <si>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</si>
  <si>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</si>
  <si>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</si>
  <si>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</si>
  <si>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</si>
  <si>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</si>
  <si>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</si>
  <si>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</si>
  <si>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</si>
  <si>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</si>
  <si>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</si>
  <si>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</si>
  <si>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</si>
  <si>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</si>
  <si>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</si>
  <si>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</si>
  <si>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</si>
  <si>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</si>
  <si>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</si>
  <si>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</si>
  <si>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</si>
  <si>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</si>
  <si>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</si>
  <si>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</si>
  <si>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</si>
  <si>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</si>
  <si>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</si>
  <si>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</si>
  <si>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</si>
  <si>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</si>
  <si>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</si>
  <si>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</si>
  <si>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</si>
  <si>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</si>
  <si>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</si>
  <si>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</si>
  <si>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</si>
  <si>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</si>
  <si>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</si>
  <si>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</si>
  <si>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</si>
  <si>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</si>
  <si>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</si>
  <si>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</si>
  <si>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</si>
  <si>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</si>
  <si>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</si>
  <si>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</si>
  <si>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</si>
  <si>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</si>
  <si>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</si>
  <si>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</si>
  <si>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</si>
  <si>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</si>
  <si>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</si>
  <si>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</si>
  <si>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</si>
  <si>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</si>
  <si>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</si>
  <si>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</si>
  <si>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</si>
  <si>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</si>
  <si>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</si>
  <si>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</si>
  <si>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</si>
  <si>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</si>
  <si>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</si>
  <si>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</si>
  <si>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</si>
  <si>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</si>
  <si>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</si>
  <si>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</si>
  <si>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</si>
  <si>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</si>
  <si>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</si>
  <si>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</si>
  <si>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</si>
  <si>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</si>
  <si>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</si>
  <si>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</si>
  <si>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</si>
  <si>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</si>
  <si>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</si>
  <si>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</si>
  <si>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</si>
  <si>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</si>
  <si>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</si>
  <si>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</si>
  <si>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</si>
  <si>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</si>
  <si>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</si>
  <si>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</si>
  <si>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</si>
  <si>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</si>
  <si>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</si>
  <si>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</si>
  <si>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</si>
  <si>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</si>
  <si>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</si>
  <si>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</si>
  <si>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</si>
  <si>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</si>
  <si>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</si>
  <si>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</si>
  <si>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</si>
  <si>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</si>
  <si>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</si>
  <si>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</si>
  <si>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</si>
  <si>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</si>
  <si>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</si>
  <si>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</si>
  <si>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</si>
  <si>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</si>
  <si>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</si>
  <si>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</si>
  <si>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</si>
  <si>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</si>
  <si>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</si>
  <si>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</si>
  <si>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</si>
  <si>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</si>
  <si>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</si>
  <si>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</si>
  <si>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</si>
  <si>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</si>
  <si>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</si>
  <si>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</si>
  <si>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</si>
  <si>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</si>
  <si>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</si>
  <si>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</si>
  <si>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</si>
  <si>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</si>
  <si>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</si>
  <si>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</si>
  <si>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</si>
  <si>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</si>
  <si>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</si>
  <si>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</si>
  <si>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</si>
  <si>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</si>
  <si>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</si>
  <si>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</si>
  <si>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</si>
  <si>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</si>
  <si>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</si>
  <si>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</si>
  <si>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</si>
  <si>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</si>
  <si>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</si>
  <si>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</si>
  <si>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</si>
  <si>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</si>
  <si>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</si>
  <si>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</si>
  <si>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</si>
  <si>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</si>
  <si>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</si>
  <si>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</si>
  <si>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</si>
  <si>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</si>
  <si>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</si>
  <si>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</si>
  <si>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</si>
  <si>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</si>
  <si>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</si>
  <si>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</si>
  <si>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</si>
  <si>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</si>
  <si>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</si>
  <si>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</si>
  <si>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</si>
  <si>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</si>
  <si>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</si>
  <si>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</si>
  <si>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</si>
  <si>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</si>
  <si>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</si>
  <si>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</si>
  <si>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</si>
  <si>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</si>
  <si>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</si>
  <si>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</si>
  <si>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</si>
  <si>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</si>
  <si>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</si>
  <si>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</si>
  <si>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</si>
  <si>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</si>
  <si>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</si>
  <si>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</si>
  <si>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</si>
  <si>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</si>
  <si>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</si>
  <si>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</si>
  <si>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</si>
  <si>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</si>
  <si>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</si>
  <si>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</si>
  <si>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</si>
  <si>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</si>
  <si>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</si>
  <si>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</si>
  <si>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</si>
  <si>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</si>
  <si>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</si>
  <si>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</si>
  <si>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</si>
  <si>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</si>
  <si>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</si>
  <si>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</si>
  <si>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</si>
  <si>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</si>
  <si>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</si>
  <si>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</si>
  <si>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</si>
  <si>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</si>
  <si>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</si>
  <si>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</si>
  <si>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</si>
  <si>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</si>
  <si>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</si>
  <si>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</si>
  <si>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</si>
  <si>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</si>
  <si>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</si>
  <si>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</si>
  <si>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</si>
  <si>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</si>
  <si>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</si>
  <si>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</si>
  <si>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FL250420</t>
  </si>
  <si>
    <t>Natalie Frank MD</t>
  </si>
  <si>
    <t>FL250421</t>
  </si>
  <si>
    <t>Michael Reed</t>
  </si>
  <si>
    <t>FL250422</t>
  </si>
  <si>
    <t>Sheila Smith</t>
  </si>
  <si>
    <t>FL250423</t>
  </si>
  <si>
    <t>Morgan Ford</t>
  </si>
  <si>
    <t>FL250424</t>
  </si>
  <si>
    <t>Linda Schultz</t>
  </si>
  <si>
    <t>FL250426</t>
  </si>
  <si>
    <t>Allison Perkins</t>
  </si>
  <si>
    <t>FL250427</t>
  </si>
  <si>
    <t>Bradley Weaver</t>
  </si>
  <si>
    <t>FL250428</t>
  </si>
  <si>
    <t>Sarah Hall</t>
  </si>
  <si>
    <t>FL250429</t>
  </si>
  <si>
    <t>Diana Walton</t>
  </si>
  <si>
    <t>FL250431</t>
  </si>
  <si>
    <t>Christopher Mcclain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</si>
  <si>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</si>
  <si>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</si>
  <si>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</si>
  <si>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</si>
  <si>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</si>
  <si>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</si>
  <si>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</si>
  <si>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</si>
  <si>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</si>
  <si>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</si>
  <si>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</si>
  <si>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</si>
  <si>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</si>
  <si>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</si>
  <si>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</si>
  <si>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</si>
  <si>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</si>
  <si>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</si>
  <si>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FL250443</t>
  </si>
  <si>
    <t>Joseph Gonzalez</t>
  </si>
  <si>
    <t>FL250444</t>
  </si>
  <si>
    <t>Andrea Perez</t>
  </si>
  <si>
    <t>FL250445</t>
  </si>
  <si>
    <t>Angel Collins</t>
  </si>
  <si>
    <t>FL250446</t>
  </si>
  <si>
    <t>Daniel Terry</t>
  </si>
  <si>
    <t>FL250448</t>
  </si>
  <si>
    <t>Denise Neal</t>
  </si>
  <si>
    <t>FL250450</t>
  </si>
  <si>
    <t>Karen Mercer</t>
  </si>
  <si>
    <t>FL250451</t>
  </si>
  <si>
    <t>Lindsay Hudson</t>
  </si>
  <si>
    <t>FL250453</t>
  </si>
  <si>
    <t>Dr. Jessica Campbell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</si>
  <si>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</si>
  <si>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</si>
  <si>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</si>
  <si>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</si>
  <si>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</si>
  <si>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</si>
  <si>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</si>
  <si>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</si>
  <si>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</si>
  <si>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</si>
  <si>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</si>
  <si>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</si>
  <si>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</si>
  <si>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</si>
  <si>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</si>
  <si>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</si>
  <si>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</si>
  <si>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</si>
  <si>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</si>
  <si>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</si>
  <si>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</si>
  <si>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</si>
  <si>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</si>
  <si>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</si>
  <si>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</si>
  <si>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</si>
  <si>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</si>
  <si>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</si>
  <si>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</si>
  <si>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</si>
  <si>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</si>
  <si>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</si>
  <si>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</si>
  <si>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</si>
  <si>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</si>
  <si>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</si>
  <si>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</si>
  <si>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</si>
  <si>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</si>
  <si>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</si>
  <si>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</si>
  <si>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</si>
  <si>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</si>
  <si>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</si>
  <si>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</si>
  <si>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</si>
  <si>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</si>
  <si>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</si>
  <si>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</si>
  <si>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</si>
  <si>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</si>
  <si>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</si>
  <si>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</si>
  <si>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</si>
  <si>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</si>
  <si>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</si>
  <si>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</si>
  <si>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</si>
  <si>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</si>
  <si>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</si>
  <si>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</si>
  <si>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</si>
  <si>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</si>
  <si>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</si>
  <si>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</si>
  <si>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</si>
  <si>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</si>
  <si>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</si>
  <si>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</si>
  <si>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</si>
  <si>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</si>
  <si>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</si>
  <si>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</si>
  <si>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</si>
  <si>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</si>
  <si>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</si>
  <si>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</si>
  <si>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</si>
  <si>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</si>
  <si>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</si>
  <si>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</si>
  <si>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</si>
  <si>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</si>
  <si>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</si>
  <si>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</si>
  <si>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</si>
  <si>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</si>
  <si>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</si>
  <si>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</si>
  <si>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</si>
  <si>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</si>
  <si>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</si>
  <si>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</si>
  <si>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</si>
  <si>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</si>
  <si>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</si>
  <si>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</si>
  <si>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</si>
  <si>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</si>
  <si>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</si>
  <si>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</si>
  <si>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</si>
  <si>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</si>
  <si>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</si>
  <si>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</si>
  <si>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</si>
  <si>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</si>
  <si>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</si>
  <si>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</si>
  <si>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</si>
  <si>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</si>
  <si>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</si>
  <si>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</si>
  <si>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</si>
  <si>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</si>
  <si>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</si>
  <si>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</si>
  <si>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</si>
  <si>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</si>
  <si>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</si>
  <si>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</si>
  <si>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</si>
  <si>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</si>
  <si>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</si>
  <si>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</si>
  <si>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</si>
  <si>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</si>
  <si>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</si>
  <si>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</si>
  <si>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</si>
  <si>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</si>
  <si>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</si>
  <si>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</si>
  <si>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</si>
  <si>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</si>
  <si>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</si>
  <si>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</si>
  <si>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</si>
  <si>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</si>
  <si>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</si>
  <si>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</si>
  <si>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</si>
  <si>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</si>
  <si>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</si>
  <si>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</si>
  <si>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</si>
  <si>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</si>
  <si>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</si>
  <si>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</si>
  <si>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</si>
  <si>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</si>
  <si>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</si>
  <si>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</si>
  <si>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</si>
  <si>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</si>
  <si>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</si>
  <si>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</si>
  <si>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</si>
  <si>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</si>
  <si>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</si>
  <si>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</si>
  <si>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</si>
  <si>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</si>
  <si>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</si>
  <si>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</si>
  <si>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</si>
  <si>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</si>
  <si>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</si>
  <si>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</si>
  <si>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</si>
  <si>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</si>
  <si>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</si>
  <si>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</si>
  <si>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</si>
  <si>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</si>
  <si>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FL250549</t>
  </si>
  <si>
    <t>John Christian</t>
  </si>
  <si>
    <t>FL250550</t>
  </si>
  <si>
    <t>Nancy Smith</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</si>
  <si>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</si>
  <si>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</si>
  <si>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</si>
  <si>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</si>
  <si>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</si>
  <si>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</si>
  <si>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</si>
  <si>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</si>
  <si>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</si>
  <si>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</si>
  <si>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</si>
  <si>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</si>
  <si>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</si>
  <si>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</si>
  <si>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</si>
  <si>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</si>
  <si>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</si>
  <si>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</si>
  <si>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</si>
  <si>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</si>
  <si>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</si>
  <si>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</si>
  <si>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</si>
  <si>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</si>
  <si>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</si>
  <si>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</si>
  <si>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</si>
  <si>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</si>
  <si>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</si>
  <si>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</si>
  <si>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</si>
  <si>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</si>
  <si>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</si>
  <si>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</si>
  <si>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</si>
  <si>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</si>
  <si>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</si>
  <si>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</si>
  <si>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</si>
  <si>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</si>
  <si>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FL250573</t>
  </si>
  <si>
    <t>Elizabeth Bowman</t>
  </si>
  <si>
    <t>FL250575</t>
  </si>
  <si>
    <t>Antonio Johnson</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</si>
  <si>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</si>
  <si>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</si>
  <si>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</si>
  <si>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</si>
  <si>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</si>
  <si>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</si>
  <si>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</si>
  <si>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</si>
  <si>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</si>
  <si>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</si>
  <si>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</si>
  <si>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</si>
  <si>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</si>
  <si>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</si>
  <si>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</si>
  <si>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</si>
  <si>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</si>
  <si>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</si>
  <si>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</si>
  <si>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</si>
  <si>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</si>
  <si>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</si>
  <si>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</si>
  <si>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</si>
  <si>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</si>
  <si>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</si>
  <si>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</si>
  <si>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</si>
  <si>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</si>
  <si>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</si>
  <si>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</si>
  <si>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</si>
  <si>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</si>
  <si>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</si>
  <si>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</si>
  <si>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</si>
  <si>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</si>
  <si>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</si>
  <si>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</si>
  <si>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</si>
  <si>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</si>
  <si>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</si>
  <si>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</si>
  <si>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</si>
  <si>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</si>
  <si>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</si>
  <si>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</si>
  <si>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</si>
  <si>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FL250603</t>
  </si>
  <si>
    <t>Mark Cochran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</si>
  <si>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</si>
  <si>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</si>
  <si>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</si>
  <si>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</si>
  <si>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</si>
  <si>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</si>
  <si>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</si>
  <si>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</si>
  <si>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</si>
  <si>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</si>
  <si>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</si>
  <si>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</si>
  <si>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</si>
  <si>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</si>
  <si>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</si>
  <si>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</si>
  <si>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</si>
  <si>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</si>
  <si>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</si>
  <si>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</si>
  <si>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</si>
  <si>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</si>
  <si>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</si>
  <si>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</si>
  <si>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</si>
  <si>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</si>
  <si>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</si>
  <si>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</si>
  <si>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</si>
  <si>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</si>
  <si>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</si>
  <si>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</si>
  <si>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</si>
  <si>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</si>
  <si>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</si>
  <si>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</si>
  <si>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</si>
  <si>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</si>
  <si>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</si>
  <si>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</si>
  <si>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</si>
  <si>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</si>
  <si>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</si>
  <si>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</si>
  <si>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</si>
  <si>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</si>
  <si>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</si>
  <si>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</si>
  <si>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</si>
  <si>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</si>
  <si>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</si>
  <si>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</si>
  <si>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</si>
  <si>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</si>
  <si>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</si>
  <si>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</si>
  <si>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</si>
  <si>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</si>
  <si>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</si>
  <si>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</si>
  <si>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</si>
  <si>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</si>
  <si>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</si>
  <si>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</si>
  <si>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</si>
  <si>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</si>
  <si>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</si>
  <si>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</si>
  <si>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</si>
  <si>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</si>
  <si>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FL250642</t>
  </si>
  <si>
    <t>John Davis</t>
  </si>
  <si>
    <t>FL250643</t>
  </si>
  <si>
    <t>Joseph Thomas</t>
  </si>
  <si>
    <t>FL250644</t>
  </si>
  <si>
    <t>Dean Finley</t>
  </si>
  <si>
    <t>FL250646</t>
  </si>
  <si>
    <t>Kenneth Evans</t>
  </si>
  <si>
    <t>FL250647</t>
  </si>
  <si>
    <t>Brandon Newman</t>
  </si>
  <si>
    <t>FL250648</t>
  </si>
  <si>
    <t>Katie Hensley</t>
  </si>
  <si>
    <t>FL250649</t>
  </si>
  <si>
    <t>Joel Randolph</t>
  </si>
  <si>
    <t>FL250650</t>
  </si>
  <si>
    <t>Andrew Scott</t>
  </si>
  <si>
    <t>FL250653</t>
  </si>
  <si>
    <t>Matthew Fernandez</t>
  </si>
  <si>
    <t>FL250654</t>
  </si>
  <si>
    <t>Benjamin Stark</t>
  </si>
  <si>
    <t>FL250655</t>
  </si>
  <si>
    <t>Tammy Greer</t>
  </si>
  <si>
    <t>FL250656</t>
  </si>
  <si>
    <t>Cynthia Mckinney</t>
  </si>
  <si>
    <t>FL250657</t>
  </si>
  <si>
    <t>Wendy Rice</t>
  </si>
  <si>
    <t>FL250658</t>
  </si>
  <si>
    <t>Randy Bender</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</si>
  <si>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</si>
  <si>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</si>
  <si>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</si>
  <si>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</si>
  <si>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</si>
  <si>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</si>
  <si>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</si>
  <si>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</si>
  <si>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</si>
  <si>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</si>
  <si>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</si>
  <si>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</si>
  <si>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</si>
  <si>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</si>
  <si>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</si>
  <si>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</si>
  <si>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FL250669</t>
  </si>
  <si>
    <t>Laura Evans</t>
  </si>
  <si>
    <t>FL250670</t>
  </si>
  <si>
    <t>Amanda Mitchell</t>
  </si>
  <si>
    <t>FL250671</t>
  </si>
  <si>
    <t>Sandra Williams</t>
  </si>
  <si>
    <t>FL250672</t>
  </si>
  <si>
    <t>Eric Johnson</t>
  </si>
  <si>
    <t>FL250673</t>
  </si>
  <si>
    <t>Javier Hobbs</t>
  </si>
  <si>
    <t>FL250675</t>
  </si>
  <si>
    <t>Zachary Murphy</t>
  </si>
  <si>
    <t>FL250676</t>
  </si>
  <si>
    <t>Joshua Owens</t>
  </si>
  <si>
    <t>FL250677</t>
  </si>
  <si>
    <t>Dawn Mitchell</t>
  </si>
  <si>
    <t>FL250678</t>
  </si>
  <si>
    <t>Regina Dunn</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</si>
  <si>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</si>
  <si>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</si>
  <si>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</si>
  <si>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</si>
  <si>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</si>
  <si>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</si>
  <si>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</si>
  <si>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</si>
  <si>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</si>
  <si>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</si>
  <si>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</si>
  <si>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</si>
  <si>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</si>
  <si>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</si>
  <si>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</si>
  <si>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</si>
  <si>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</si>
  <si>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</si>
  <si>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</si>
  <si>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</si>
  <si>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</si>
  <si>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</si>
  <si>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</si>
  <si>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</si>
  <si>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</si>
  <si>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</si>
  <si>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</si>
  <si>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</si>
  <si>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</si>
  <si>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</si>
  <si>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</si>
  <si>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</si>
  <si>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</si>
  <si>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</si>
  <si>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</si>
  <si>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</si>
  <si>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</si>
  <si>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</si>
  <si>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</si>
  <si>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</si>
  <si>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</si>
  <si>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</si>
  <si>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</si>
  <si>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</si>
  <si>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</si>
  <si>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</si>
  <si>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</si>
  <si>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</si>
  <si>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</si>
  <si>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</si>
  <si>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</si>
  <si>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</si>
  <si>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</si>
  <si>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</si>
  <si>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</si>
  <si>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</si>
  <si>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</si>
  <si>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FL250711</t>
  </si>
  <si>
    <t>Michael Clark</t>
  </si>
  <si>
    <t>FL250712</t>
  </si>
  <si>
    <t>Rebecca Barker</t>
  </si>
  <si>
    <t>FL250713</t>
  </si>
  <si>
    <t>Angela Smith</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</si>
  <si>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</si>
  <si>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</si>
  <si>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</si>
  <si>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</si>
  <si>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</si>
  <si>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</si>
  <si>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</si>
  <si>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</si>
  <si>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</si>
  <si>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</si>
  <si>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</si>
  <si>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</si>
  <si>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</si>
  <si>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</si>
  <si>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</si>
  <si>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</si>
  <si>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</si>
  <si>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</si>
  <si>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</si>
  <si>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</si>
  <si>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</si>
  <si>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</si>
  <si>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</si>
  <si>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</si>
  <si>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</si>
  <si>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</si>
  <si>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</si>
  <si>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</si>
  <si>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</si>
  <si>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</si>
  <si>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</si>
  <si>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</si>
  <si>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</si>
  <si>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</si>
  <si>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</si>
  <si>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</si>
  <si>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</si>
  <si>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</si>
  <si>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</si>
  <si>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</si>
  <si>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</si>
  <si>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</si>
  <si>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</si>
  <si>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</si>
  <si>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</si>
  <si>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</si>
  <si>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FL250739</t>
  </si>
  <si>
    <t>Misty Adams</t>
  </si>
  <si>
    <t>FL250740</t>
  </si>
  <si>
    <t>Megan Brown</t>
  </si>
  <si>
    <t>FL250741</t>
  </si>
  <si>
    <t>Gregory Brown</t>
  </si>
  <si>
    <t>FL250742</t>
  </si>
  <si>
    <t>Scott Alexander MD</t>
  </si>
  <si>
    <t>FL250744</t>
  </si>
  <si>
    <t>Wendy Boyer</t>
  </si>
  <si>
    <t>FL250747</t>
  </si>
  <si>
    <t>Linda Williams</t>
  </si>
  <si>
    <t>FL250748</t>
  </si>
  <si>
    <t>Jason Edwards</t>
  </si>
  <si>
    <t>FL250749</t>
  </si>
  <si>
    <t>Madison Mcintosh</t>
  </si>
  <si>
    <t>FL250750</t>
  </si>
  <si>
    <t>Desiree Winters</t>
  </si>
  <si>
    <t>FL250752</t>
  </si>
  <si>
    <t>Patricia Scott</t>
  </si>
  <si>
    <t>FL250753</t>
  </si>
  <si>
    <t>Erin Jimenez</t>
  </si>
  <si>
    <t>FL250754</t>
  </si>
  <si>
    <t>Anthony Krause</t>
  </si>
  <si>
    <t>FL250756</t>
  </si>
  <si>
    <t>Stuart Mckinney</t>
  </si>
  <si>
    <t>FL250758</t>
  </si>
  <si>
    <t>Lauren Henry</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</si>
  <si>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</si>
  <si>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</si>
  <si>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</si>
  <si>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</si>
  <si>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</si>
  <si>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</si>
  <si>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</si>
  <si>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</si>
  <si>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</si>
  <si>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</si>
  <si>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</si>
  <si>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</si>
  <si>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</si>
  <si>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</si>
  <si>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</si>
  <si>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</si>
  <si>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</si>
  <si>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</si>
  <si>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</si>
  <si>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</si>
  <si>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</si>
  <si>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</si>
  <si>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</si>
  <si>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</si>
  <si>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</si>
  <si>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</si>
  <si>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</si>
  <si>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</si>
  <si>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</si>
  <si>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</si>
  <si>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</si>
  <si>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</si>
  <si>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</si>
  <si>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</si>
  <si>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</si>
  <si>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</si>
  <si>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</si>
  <si>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</si>
  <si>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</si>
  <si>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</si>
  <si>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</si>
  <si>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</si>
  <si>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</si>
  <si>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</si>
  <si>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</si>
  <si>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</si>
  <si>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</si>
  <si>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</si>
  <si>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</si>
  <si>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</si>
  <si>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</si>
  <si>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</si>
  <si>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</si>
  <si>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</si>
  <si>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</si>
  <si>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</si>
  <si>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</si>
  <si>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</si>
  <si>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</si>
  <si>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</si>
  <si>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</si>
  <si>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</si>
  <si>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</si>
  <si>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</si>
  <si>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</si>
  <si>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</si>
  <si>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</si>
  <si>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</si>
  <si>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</si>
  <si>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</si>
  <si>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</si>
  <si>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</si>
  <si>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</si>
  <si>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</si>
  <si>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</si>
  <si>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</si>
  <si>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</si>
  <si>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</si>
  <si>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</si>
  <si>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</si>
  <si>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</si>
  <si>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</si>
  <si>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</si>
  <si>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</si>
  <si>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</si>
  <si>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</si>
  <si>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</si>
  <si>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</si>
  <si>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FL250806</t>
  </si>
  <si>
    <t>Amanda Smith</t>
  </si>
  <si>
    <t>FL250807</t>
  </si>
  <si>
    <t>Emily Brown</t>
  </si>
  <si>
    <t>FL250808</t>
  </si>
  <si>
    <t>Dwayne Cardenas</t>
  </si>
  <si>
    <t>FL250809</t>
  </si>
  <si>
    <t>Dr. Rhonda Hernandez</t>
  </si>
  <si>
    <t>FL250810</t>
  </si>
  <si>
    <t>Melody Barker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</si>
  <si>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</si>
  <si>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</si>
  <si>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</si>
  <si>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</si>
  <si>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</si>
  <si>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</si>
  <si>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</si>
  <si>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</si>
  <si>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</si>
  <si>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</si>
  <si>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</si>
  <si>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</si>
  <si>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</si>
  <si>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</si>
  <si>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</si>
  <si>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</si>
  <si>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</si>
  <si>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</si>
  <si>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</si>
  <si>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</si>
  <si>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</si>
  <si>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</si>
  <si>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FL250824</t>
  </si>
  <si>
    <t>Alexander Hogan</t>
  </si>
  <si>
    <t>FL250826</t>
  </si>
  <si>
    <t>Michael Mcmahon</t>
  </si>
  <si>
    <t>FL250827</t>
  </si>
  <si>
    <t>Michael Watson</t>
  </si>
  <si>
    <t>FL250828</t>
  </si>
  <si>
    <t>Lori Perez</t>
  </si>
  <si>
    <t>FL250829</t>
  </si>
  <si>
    <t>Lindsay Le</t>
  </si>
  <si>
    <t>FL250832</t>
  </si>
  <si>
    <t>Joseph Miller</t>
  </si>
  <si>
    <t>FL250833</t>
  </si>
  <si>
    <t>Julia Reid</t>
  </si>
  <si>
    <t>FL250834</t>
  </si>
  <si>
    <t>Samantha Matthews</t>
  </si>
  <si>
    <t>FL250836</t>
  </si>
  <si>
    <t>Toni Hinton</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</si>
  <si>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</si>
  <si>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</si>
  <si>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</si>
  <si>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</si>
  <si>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</si>
  <si>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</si>
  <si>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</si>
  <si>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</si>
  <si>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</si>
  <si>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</si>
  <si>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</si>
  <si>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</si>
  <si>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</si>
  <si>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</si>
  <si>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</si>
  <si>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</si>
  <si>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</si>
  <si>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</si>
  <si>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</si>
  <si>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</si>
  <si>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FL250849</t>
  </si>
  <si>
    <t>Anna Fleming</t>
  </si>
  <si>
    <t>FL250850</t>
  </si>
  <si>
    <t>Linda Williamson</t>
  </si>
  <si>
    <t>FL250851</t>
  </si>
  <si>
    <t>Roy Wilson</t>
  </si>
  <si>
    <t>FL250852</t>
  </si>
  <si>
    <t>Jennifer Pierce</t>
  </si>
  <si>
    <t>FL250853</t>
  </si>
  <si>
    <t>Jason Johnson</t>
  </si>
  <si>
    <t>FL250854</t>
  </si>
  <si>
    <t>Jasmine Lane</t>
  </si>
  <si>
    <t>FL250856</t>
  </si>
  <si>
    <t>Kevin Serrano</t>
  </si>
  <si>
    <t>FL250857</t>
  </si>
  <si>
    <t>Nathaniel Benson</t>
  </si>
  <si>
    <t>FL250858</t>
  </si>
  <si>
    <t>Deanna Miles</t>
  </si>
  <si>
    <t>FL250859</t>
  </si>
  <si>
    <t>Beverly Roy</t>
  </si>
  <si>
    <t>FL250860</t>
  </si>
  <si>
    <t>Heather Saunders</t>
  </si>
  <si>
    <t>FL250861</t>
  </si>
  <si>
    <t>Nicholas Guerrero</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</si>
  <si>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</si>
  <si>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</si>
  <si>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</si>
  <si>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</si>
  <si>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</si>
  <si>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</si>
  <si>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</si>
  <si>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</si>
  <si>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</si>
  <si>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</si>
  <si>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</si>
  <si>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</si>
  <si>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</si>
  <si>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</si>
  <si>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</si>
  <si>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</si>
  <si>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</si>
  <si>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</si>
  <si>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</si>
  <si>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</si>
  <si>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</si>
  <si>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</si>
  <si>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</si>
  <si>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</si>
  <si>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</si>
  <si>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</si>
  <si>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FL250877</t>
  </si>
  <si>
    <t>Mrs. Lisa Beard DVM</t>
  </si>
  <si>
    <t>FL250878</t>
  </si>
  <si>
    <t>Larry Wallace</t>
  </si>
  <si>
    <t>FL250879</t>
  </si>
  <si>
    <t>Jeremiah Thompson</t>
  </si>
  <si>
    <t>FL250881</t>
  </si>
  <si>
    <t>Martin Moreno</t>
  </si>
  <si>
    <t>FL250882</t>
  </si>
  <si>
    <t>Yolanda Proctor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</si>
  <si>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</si>
  <si>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</si>
  <si>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</si>
  <si>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</si>
  <si>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</si>
  <si>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</si>
  <si>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</si>
  <si>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</si>
  <si>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</si>
  <si>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</si>
  <si>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</si>
  <si>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</si>
  <si>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</si>
  <si>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</si>
  <si>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</si>
  <si>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</si>
  <si>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</si>
  <si>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</si>
  <si>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</si>
  <si>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</si>
  <si>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</si>
  <si>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</si>
  <si>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</si>
  <si>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</si>
  <si>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</si>
  <si>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</si>
  <si>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</si>
  <si>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</si>
  <si>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</si>
  <si>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</si>
  <si>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</si>
  <si>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</si>
  <si>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</si>
  <si>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</si>
  <si>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</si>
  <si>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</si>
  <si>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</si>
  <si>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</si>
  <si>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</si>
  <si>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</si>
  <si>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</si>
  <si>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</si>
  <si>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</si>
  <si>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</si>
  <si>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</si>
  <si>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</si>
  <si>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</si>
  <si>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</si>
  <si>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</si>
  <si>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</si>
  <si>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</si>
  <si>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</si>
  <si>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</si>
  <si>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</si>
  <si>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</si>
  <si>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</si>
  <si>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</si>
  <si>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</si>
  <si>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</si>
  <si>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</si>
  <si>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</si>
  <si>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</si>
  <si>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</si>
  <si>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</si>
  <si>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</si>
  <si>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</si>
  <si>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</si>
  <si>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</si>
  <si>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</si>
  <si>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</si>
  <si>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</si>
  <si>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</si>
  <si>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</si>
  <si>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</si>
  <si>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</si>
  <si>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</si>
  <si>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</si>
  <si>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</si>
  <si>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</si>
  <si>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</si>
  <si>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</si>
  <si>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</si>
  <si>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</si>
  <si>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</si>
  <si>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</si>
  <si>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</si>
  <si>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</si>
  <si>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</si>
  <si>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</si>
  <si>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</si>
  <si>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FL250934</t>
  </si>
  <si>
    <t>Valerie Finley</t>
  </si>
  <si>
    <t>FL250935</t>
  </si>
  <si>
    <t>Deborah Kelley</t>
  </si>
  <si>
    <t>FL250936</t>
  </si>
  <si>
    <t>Kristina Miller</t>
  </si>
  <si>
    <t>FL250938</t>
  </si>
  <si>
    <t>Sandra Henry</t>
  </si>
  <si>
    <t>FL250939</t>
  </si>
  <si>
    <t>Tony Hester</t>
  </si>
  <si>
    <t>FL250940</t>
  </si>
  <si>
    <t>Nathan Davis</t>
  </si>
  <si>
    <t>FL250941</t>
  </si>
  <si>
    <t>Erica Jackson</t>
  </si>
  <si>
    <t>FL250943</t>
  </si>
  <si>
    <t>Richard Sanchez</t>
  </si>
  <si>
    <t>FL250944</t>
  </si>
  <si>
    <t>Savannah Reid</t>
  </si>
  <si>
    <t>FL250945</t>
  </si>
  <si>
    <t>Robert Salazar</t>
  </si>
  <si>
    <t>FL250946</t>
  </si>
  <si>
    <t>Hector Greer</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</si>
  <si>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</si>
  <si>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</si>
  <si>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</si>
  <si>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</si>
  <si>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</si>
  <si>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</si>
  <si>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</si>
  <si>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</si>
  <si>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</si>
  <si>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</si>
  <si>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</si>
  <si>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</si>
  <si>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</si>
  <si>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</si>
  <si>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</si>
  <si>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</si>
  <si>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</si>
  <si>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</si>
  <si>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FL250958</t>
  </si>
  <si>
    <t>Gabrielle Bowman</t>
  </si>
  <si>
    <t>FL250959</t>
  </si>
  <si>
    <t>Julian Edwards</t>
  </si>
  <si>
    <t>FL250960</t>
  </si>
  <si>
    <t>Nicholas Scott</t>
  </si>
  <si>
    <t>FL250961</t>
  </si>
  <si>
    <t>Daniel Green</t>
  </si>
  <si>
    <t>FL250962</t>
  </si>
  <si>
    <t>Catherine Johnston</t>
  </si>
  <si>
    <t>FL250963</t>
  </si>
  <si>
    <t>Brenda Koch</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</si>
  <si>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</si>
  <si>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</si>
  <si>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</si>
  <si>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</si>
  <si>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</si>
  <si>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</si>
  <si>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</si>
  <si>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</si>
  <si>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</si>
  <si>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</si>
  <si>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</si>
  <si>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</si>
  <si>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</si>
  <si>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</si>
  <si>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</si>
  <si>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</si>
  <si>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</si>
  <si>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</si>
  <si>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</si>
  <si>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</si>
  <si>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</si>
  <si>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</si>
  <si>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</si>
  <si>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</si>
  <si>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</si>
  <si>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</si>
  <si>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</si>
  <si>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</si>
  <si>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</si>
  <si>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</si>
  <si>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</si>
  <si>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</si>
  <si>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</si>
  <si>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</si>
  <si>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</si>
  <si>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</si>
  <si>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</si>
  <si>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</si>
  <si>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</si>
  <si>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</si>
  <si>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</si>
  <si>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</si>
  <si>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</si>
  <si>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</si>
  <si>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</si>
  <si>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</si>
  <si>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</si>
  <si>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</si>
  <si>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</si>
  <si>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</si>
  <si>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</si>
  <si>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</si>
  <si>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</si>
  <si>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</si>
  <si>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</si>
  <si>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</si>
  <si>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</si>
  <si>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</si>
  <si>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</si>
  <si>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</si>
  <si>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</si>
  <si>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</si>
  <si>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</si>
  <si>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</si>
  <si>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</si>
  <si>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</si>
  <si>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</si>
  <si>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</si>
  <si>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</si>
  <si>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</si>
  <si>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Global Freelancers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</si>
</sst>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
  </numFmts>
  <fonts count="4" x14ac:knownFonts="1">
    <font>
      <sz val="11"/>
      <color theme="1"/>
      <name val="Century Gothic"/>
      <family val="2"/>
      <scheme val="minor"/>
    </font>
    <font>
      <sz val="11"/>
      <color theme="1"/>
      <name val="Century Gothic"/>
      <family val="2"/>
      <scheme val="minor"/>
    </font>
    <font>
      <b/>
      <sz val="15"/>
      <color theme="3"/>
      <name val="Century Gothic"/>
      <family val="2"/>
      <scheme val="minor"/>
    </font>
    <font>
      <b/>
      <sz val="28"/>
      <color theme="3"/>
      <name val="Century Gothic"/>
      <family val="2"/>
      <scheme val="minor"/>
    </font>
  </fonts>
  <fills count="4">
    <fill>
      <patternFill patternType="none"/>
    </fill>
    <fill>
      <patternFill patternType="gray125"/>
    </fill>
    <fill>
      <patternFill patternType="solid">
        <fgColor theme="6" tint="0.79998168889431442"/>
        <bgColor indexed="65"/>
      </patternFill>
    </fill>
    <fill>
      <patternFill patternType="solid">
        <fgColor theme="4" tint="0.79998168889431442"/>
        <bgColor indexed="65"/>
      </patternFill>
    </fill>
  </fills>
  <borders count="2">
    <border>
      <left/>
      <right/>
      <top/>
      <bottom/>
      <diagonal/>
    </border>
    <border>
      <left/>
      <right/>
      <top/>
      <bottom style="thick">
        <color theme="4"/>
      </bottom>
      <diagonal/>
    </border>
  </borders>
  <cellStyleXfs count="4">
    <xf numFmtId="0" fontId="0" fillId="0" borderId="0"/>
    <xf numFmtId="0" fontId="2" fillId="0" borderId="1" applyNumberFormat="0" applyFill="0" applyAlignment="0" applyProtection="0"/>
    <xf numFmtId="0" fontId="1" fillId="2" borderId="0" applyNumberFormat="0" applyBorder="0" applyAlignment="0" applyProtection="0"/>
    <xf numFmtId="0" fontId="1" fillId="3" borderId="0" applyNumberFormat="0" applyBorder="0" applyAlignment="0" applyProtection="0"/>
  </cellStyleXfs>
  <cellXfs count="16">
    <xf numFmtId="0" fontId="0" fillId="0" borderId="0" xfId="0"/>
    <xf numFmtId="9" fontId="0" fillId="0" borderId="0" xfId="0" applyNumberFormat="1"/>
    <xf numFmtId="6" fontId="0" fillId="0" borderId="0" xfId="0" applyNumberFormat="1"/>
    <xf numFmtId="0" fontId="0" fillId="0" borderId="0" xfId="0" applyAlignment="1">
      <alignment wrapText="1"/>
    </xf>
    <xf numFmtId="1" fontId="0" fillId="0" borderId="0" xfId="0" applyNumberFormat="1" applyAlignment="1">
      <alignment horizontal="left"/>
    </xf>
    <xf numFmtId="0" fontId="0" fillId="0" borderId="0" xfId="0" applyAlignment="1">
      <alignment horizontal="left"/>
    </xf>
    <xf numFmtId="9" fontId="0" fillId="0" borderId="0" xfId="0" applyNumberFormat="1" applyAlignment="1">
      <alignment horizontal="left"/>
    </xf>
    <xf numFmtId="10" fontId="0" fillId="0" borderId="0" xfId="0" applyNumberFormat="1" applyAlignment="1">
      <alignment horizontal="left"/>
    </xf>
    <xf numFmtId="0" fontId="0" fillId="0" borderId="0" xfId="0" pivotButton="1"/>
    <xf numFmtId="164" fontId="0" fillId="0" borderId="0" xfId="0" pivotButton="1" applyNumberFormat="1"/>
    <xf numFmtId="2" fontId="0" fillId="0" borderId="0" xfId="0" applyNumberFormat="1"/>
    <xf numFmtId="1" fontId="0" fillId="0" borderId="0" xfId="0" applyNumberFormat="1"/>
    <xf numFmtId="0" fontId="0" fillId="0" borderId="0" xfId="0" applyAlignment="1">
      <alignment horizontal="right"/>
    </xf>
    <xf numFmtId="0" fontId="1" fillId="2" borderId="0" xfId="2"/>
    <xf numFmtId="0" fontId="3" fillId="2" borderId="1" xfId="1" applyFont="1" applyFill="1"/>
    <xf numFmtId="0" fontId="1" fillId="3" borderId="0" xfId="3"/>
  </cellXfs>
  <cellStyles count="4">
    <cellStyle name="20% - Accent1" xfId="3" builtinId="30"/>
    <cellStyle name="20% - Accent3" xfId="2" builtinId="38"/>
    <cellStyle name="Heading 1" xfId="1" builtinId="16"/>
    <cellStyle name="Normal" xfId="0" builtinId="0"/>
  </cellStyles>
  <dxfs count="56">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64" formatCode=";;"/>
    </dxf>
    <dxf>
      <numFmt numFmtId="1" formatCode="0"/>
    </dxf>
    <dxf>
      <numFmt numFmtId="164" formatCode=";;"/>
    </dxf>
    <dxf>
      <numFmt numFmtId="1" formatCode="0"/>
    </dxf>
    <dxf>
      <numFmt numFmtId="13" formatCode="0%"/>
    </dxf>
    <dxf>
      <numFmt numFmtId="2" formatCode="0.00"/>
    </dxf>
    <dxf>
      <alignment horizontal="right"/>
    </dxf>
    <dxf>
      <numFmt numFmtId="13" formatCode="0%"/>
    </dxf>
    <dxf>
      <numFmt numFmtId="13" formatCode="0%"/>
    </dxf>
    <dxf>
      <numFmt numFmtId="2" formatCode="0.00"/>
    </dxf>
    <dxf>
      <numFmt numFmtId="1" formatCode="0"/>
    </dxf>
    <dxf>
      <numFmt numFmtId="164" formatCode=";;"/>
    </dxf>
    <dxf>
      <numFmt numFmtId="1" formatCode="0"/>
    </dxf>
    <dxf>
      <numFmt numFmtId="164" formatCode=";;"/>
    </dxf>
    <dxf>
      <numFmt numFmtId="13" formatCode="0%"/>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 Project.xlsx]Pivot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GB" b="1">
                <a:latin typeface="Calibri" panose="020F0502020204030204" pitchFamily="34" charset="0"/>
                <a:ea typeface="Calibri" panose="020F0502020204030204" pitchFamily="34" charset="0"/>
                <a:cs typeface="Calibri" panose="020F0502020204030204" pitchFamily="34" charset="0"/>
              </a:rPr>
              <a:t>Primary</a:t>
            </a:r>
            <a:r>
              <a:rPr lang="en-GB" b="1" baseline="0">
                <a:latin typeface="Calibri" panose="020F0502020204030204" pitchFamily="34" charset="0"/>
                <a:ea typeface="Calibri" panose="020F0502020204030204" pitchFamily="34" charset="0"/>
                <a:cs typeface="Calibri" panose="020F0502020204030204" pitchFamily="34" charset="0"/>
              </a:rPr>
              <a:t> Skill</a:t>
            </a:r>
            <a:endParaRPr lang="en-GB">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solidFill>
          <a:ln>
            <a:noFill/>
          </a:ln>
          <a:effectLst/>
        </c:spPr>
        <c:marker>
          <c:symbol val="none"/>
        </c:marker>
        <c:dLbl>
          <c:idx val="0"/>
          <c:layout/>
          <c:spPr>
            <a:noFill/>
            <a:ln>
              <a:noFill/>
            </a:ln>
            <a:effectLst/>
          </c:spPr>
          <c:txPr>
            <a:bodyPr wrap="square" lIns="38100" tIns="19050" rIns="38100" bIns="19050" anchor="ctr">
              <a:spAutoFit/>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solidFill>
            <a:ln>
              <a:noFill/>
            </a:ln>
            <a:effectLst/>
          </c:spPr>
          <c:invertIfNegative val="0"/>
          <c:dLbls>
            <c:spPr>
              <a:noFill/>
              <a:ln>
                <a:noFill/>
              </a:ln>
              <a:effectLst/>
            </c:spPr>
            <c:txPr>
              <a:bodyPr wrap="square" lIns="38100" tIns="19050" rIns="38100" bIns="19050" anchor="ctr">
                <a:spAutoFit/>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 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 Table'!$B$4:$B$14</c:f>
              <c:numCache>
                <c:formatCode>0.00</c:formatCode>
                <c:ptCount val="10"/>
                <c:pt idx="0">
                  <c:v>2.8106796116504866</c:v>
                </c:pt>
                <c:pt idx="1">
                  <c:v>2.5741176470588236</c:v>
                </c:pt>
                <c:pt idx="2">
                  <c:v>2.538823529411764</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2-F6D2-45C5-86E3-6CB954B80593}"/>
            </c:ext>
          </c:extLst>
        </c:ser>
        <c:dLbls>
          <c:dLblPos val="outEnd"/>
          <c:showLegendKey val="0"/>
          <c:showVal val="1"/>
          <c:showCatName val="0"/>
          <c:showSerName val="0"/>
          <c:showPercent val="0"/>
          <c:showBubbleSize val="0"/>
        </c:dLbls>
        <c:gapWidth val="219"/>
        <c:overlap val="-27"/>
        <c:axId val="1160144496"/>
        <c:axId val="1160148656"/>
      </c:barChart>
      <c:catAx>
        <c:axId val="11601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48656"/>
        <c:crosses val="autoZero"/>
        <c:auto val="1"/>
        <c:lblAlgn val="ctr"/>
        <c:lblOffset val="100"/>
        <c:noMultiLvlLbl val="0"/>
      </c:catAx>
      <c:valAx>
        <c:axId val="1160148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44496"/>
        <c:crosses val="autoZero"/>
        <c:crossBetween val="between"/>
      </c:valAx>
    </c:plotArea>
    <c:plotVisOnly val="1"/>
    <c:dispBlanksAs val="gap"/>
    <c:showDLblsOverMax val="0"/>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 Project.xlsx]Pivot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Years</a:t>
            </a:r>
            <a:r>
              <a:rPr lang="en-US" b="1" baseline="0">
                <a:latin typeface="Calibri" panose="020F0502020204030204" pitchFamily="34" charset="0"/>
                <a:ea typeface="Calibri" panose="020F0502020204030204" pitchFamily="34" charset="0"/>
                <a:cs typeface="Calibri" panose="020F0502020204030204" pitchFamily="34" charset="0"/>
              </a:rPr>
              <a:t> of Experience</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0-5</c:v>
                </c:pt>
                <c:pt idx="1">
                  <c:v>6-10</c:v>
                </c:pt>
                <c:pt idx="2">
                  <c:v>11-15</c:v>
                </c:pt>
                <c:pt idx="3">
                  <c:v>16-20</c:v>
                </c:pt>
                <c:pt idx="4">
                  <c:v>21+</c:v>
                </c:pt>
              </c:strCache>
            </c:strRef>
          </c:cat>
          <c:val>
            <c:numRef>
              <c:f>'Pivot Table'!$E$4:$E$9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41ED-4718-BFA0-89D15513C992}"/>
            </c:ext>
          </c:extLst>
        </c:ser>
        <c:dLbls>
          <c:dLblPos val="outEnd"/>
          <c:showLegendKey val="0"/>
          <c:showVal val="1"/>
          <c:showCatName val="0"/>
          <c:showSerName val="0"/>
          <c:showPercent val="0"/>
          <c:showBubbleSize val="0"/>
        </c:dLbls>
        <c:gapWidth val="219"/>
        <c:overlap val="-27"/>
        <c:axId val="1160144496"/>
        <c:axId val="1160148656"/>
      </c:barChart>
      <c:catAx>
        <c:axId val="11601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48656"/>
        <c:crosses val="autoZero"/>
        <c:auto val="1"/>
        <c:lblAlgn val="ctr"/>
        <c:lblOffset val="100"/>
        <c:noMultiLvlLbl val="0"/>
      </c:catAx>
      <c:valAx>
        <c:axId val="116014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44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 Project.xlsx]Pivot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Hourly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Table'!$G$4:$G$11</c:f>
              <c:strCache>
                <c:ptCount val="7"/>
                <c:pt idx="0">
                  <c:v>100</c:v>
                </c:pt>
                <c:pt idx="1">
                  <c:v>75</c:v>
                </c:pt>
                <c:pt idx="2">
                  <c:v>50</c:v>
                </c:pt>
                <c:pt idx="3">
                  <c:v>40</c:v>
                </c:pt>
                <c:pt idx="4">
                  <c:v>30</c:v>
                </c:pt>
                <c:pt idx="5">
                  <c:v>20</c:v>
                </c:pt>
                <c:pt idx="6">
                  <c:v>NA</c:v>
                </c:pt>
              </c:strCache>
            </c:strRef>
          </c:cat>
          <c:val>
            <c:numRef>
              <c:f>'Pivot Table'!$H$4:$H$11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DFAF-43E0-AA41-AF0BAFBB092E}"/>
            </c:ext>
          </c:extLst>
        </c:ser>
        <c:dLbls>
          <c:dLblPos val="outEnd"/>
          <c:showLegendKey val="0"/>
          <c:showVal val="1"/>
          <c:showCatName val="0"/>
          <c:showSerName val="0"/>
          <c:showPercent val="0"/>
          <c:showBubbleSize val="0"/>
        </c:dLbls>
        <c:gapWidth val="219"/>
        <c:overlap val="-27"/>
        <c:axId val="1222798112"/>
        <c:axId val="1222802688"/>
      </c:barChart>
      <c:catAx>
        <c:axId val="12227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2802688"/>
        <c:crosses val="autoZero"/>
        <c:auto val="1"/>
        <c:lblAlgn val="ctr"/>
        <c:lblOffset val="100"/>
        <c:noMultiLvlLbl val="0"/>
      </c:catAx>
      <c:valAx>
        <c:axId val="1222802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2798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 Project.xlsx]Pivot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Count by Language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746527841678269"/>
          <c:y val="9.5971637700744072E-2"/>
          <c:w val="0.7349300562626937"/>
          <c:h val="0.84451486942663379"/>
        </c:manualLayout>
      </c:layout>
      <c:barChart>
        <c:barDir val="bar"/>
        <c:grouping val="clustered"/>
        <c:varyColors val="0"/>
        <c:ser>
          <c:idx val="0"/>
          <c:order val="0"/>
          <c:tx>
            <c:strRef>
              <c:f>'Pivot 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 Table'!$K$4:$K$20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C500-4373-BF82-D1206540F652}"/>
            </c:ext>
          </c:extLst>
        </c:ser>
        <c:dLbls>
          <c:dLblPos val="outEnd"/>
          <c:showLegendKey val="0"/>
          <c:showVal val="1"/>
          <c:showCatName val="0"/>
          <c:showSerName val="0"/>
          <c:showPercent val="0"/>
          <c:showBubbleSize val="0"/>
        </c:dLbls>
        <c:gapWidth val="182"/>
        <c:axId val="1160150320"/>
        <c:axId val="1160154896"/>
      </c:barChart>
      <c:catAx>
        <c:axId val="116015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54896"/>
        <c:crosses val="autoZero"/>
        <c:auto val="1"/>
        <c:lblAlgn val="ctr"/>
        <c:lblOffset val="100"/>
        <c:noMultiLvlLbl val="0"/>
      </c:catAx>
      <c:valAx>
        <c:axId val="11601548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015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 Project.xlsx]Pivot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latin typeface="Calibri" panose="020F0502020204030204" pitchFamily="34" charset="0"/>
                <a:ea typeface="Calibri" panose="020F0502020204030204" pitchFamily="34" charset="0"/>
                <a:cs typeface="Calibri" panose="020F0502020204030204" pitchFamily="34" charset="0"/>
              </a:rPr>
              <a:t>Count</a:t>
            </a:r>
            <a:r>
              <a:rPr lang="en-US" b="1" baseline="0">
                <a:latin typeface="Calibri" panose="020F0502020204030204" pitchFamily="34" charset="0"/>
                <a:ea typeface="Calibri" panose="020F0502020204030204" pitchFamily="34" charset="0"/>
                <a:cs typeface="Calibri" panose="020F0502020204030204" pitchFamily="34" charset="0"/>
              </a:rPr>
              <a:t> by Country</a:t>
            </a:r>
            <a:endParaRPr lang="en-US" b="1">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Table'!$M$4:$M$25</c:f>
              <c:strCache>
                <c:ptCount val="21"/>
                <c:pt idx="0">
                  <c:v>South Korea</c:v>
                </c:pt>
                <c:pt idx="1">
                  <c:v>Canada</c:v>
                </c:pt>
                <c:pt idx="2">
                  <c:v>Germany</c:v>
                </c:pt>
                <c:pt idx="3">
                  <c:v>Australia</c:v>
                </c:pt>
                <c:pt idx="4">
                  <c:v>Netherlands</c:v>
                </c:pt>
                <c:pt idx="5">
                  <c:v>United Kingdom</c:v>
                </c:pt>
                <c:pt idx="6">
                  <c:v>Mexico</c:v>
                </c:pt>
                <c:pt idx="7">
                  <c:v>United States</c:v>
                </c:pt>
                <c:pt idx="8">
                  <c:v>China</c:v>
                </c:pt>
                <c:pt idx="9">
                  <c:v>Russia</c:v>
                </c:pt>
                <c:pt idx="10">
                  <c:v>Argentina</c:v>
                </c:pt>
                <c:pt idx="11">
                  <c:v>Indonesia</c:v>
                </c:pt>
                <c:pt idx="12">
                  <c:v>India</c:v>
                </c:pt>
                <c:pt idx="13">
                  <c:v>Spain</c:v>
                </c:pt>
                <c:pt idx="14">
                  <c:v>Turkey</c:v>
                </c:pt>
                <c:pt idx="15">
                  <c:v>France</c:v>
                </c:pt>
                <c:pt idx="16">
                  <c:v>South Africa</c:v>
                </c:pt>
                <c:pt idx="17">
                  <c:v>Egypt</c:v>
                </c:pt>
                <c:pt idx="18">
                  <c:v>Italy</c:v>
                </c:pt>
                <c:pt idx="19">
                  <c:v>Japan</c:v>
                </c:pt>
                <c:pt idx="20">
                  <c:v>Brazil</c:v>
                </c:pt>
              </c:strCache>
            </c:strRef>
          </c:cat>
          <c:val>
            <c:numRef>
              <c:f>'Pivot Table'!$N$4:$N$25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34B5-4EFC-9EE2-6B963DA03B3A}"/>
            </c:ext>
          </c:extLst>
        </c:ser>
        <c:dLbls>
          <c:dLblPos val="outEnd"/>
          <c:showLegendKey val="0"/>
          <c:showVal val="1"/>
          <c:showCatName val="0"/>
          <c:showSerName val="0"/>
          <c:showPercent val="0"/>
          <c:showBubbleSize val="0"/>
        </c:dLbls>
        <c:gapWidth val="182"/>
        <c:axId val="1223642688"/>
        <c:axId val="1223649344"/>
      </c:barChart>
      <c:catAx>
        <c:axId val="122364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3649344"/>
        <c:crosses val="autoZero"/>
        <c:auto val="1"/>
        <c:lblAlgn val="ctr"/>
        <c:lblOffset val="100"/>
        <c:noMultiLvlLbl val="0"/>
      </c:catAx>
      <c:valAx>
        <c:axId val="1223649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364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123209</xdr:colOff>
      <xdr:row>4</xdr:row>
      <xdr:rowOff>85298</xdr:rowOff>
    </xdr:from>
    <xdr:to>
      <xdr:col>12</xdr:col>
      <xdr:colOff>3203434</xdr:colOff>
      <xdr:row>14</xdr:row>
      <xdr:rowOff>9477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383167</xdr:colOff>
      <xdr:row>14</xdr:row>
      <xdr:rowOff>132686</xdr:rowOff>
    </xdr:from>
    <xdr:to>
      <xdr:col>12</xdr:col>
      <xdr:colOff>3193956</xdr:colOff>
      <xdr:row>28</xdr:row>
      <xdr:rowOff>161119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47390</xdr:colOff>
      <xdr:row>14</xdr:row>
      <xdr:rowOff>123303</xdr:rowOff>
    </xdr:from>
    <xdr:to>
      <xdr:col>8</xdr:col>
      <xdr:colOff>284328</xdr:colOff>
      <xdr:row>29</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285546</xdr:colOff>
      <xdr:row>4</xdr:row>
      <xdr:rowOff>132688</xdr:rowOff>
    </xdr:from>
    <xdr:to>
      <xdr:col>20</xdr:col>
      <xdr:colOff>578134</xdr:colOff>
      <xdr:row>29</xdr:row>
      <xdr:rowOff>9478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3383508</xdr:colOff>
      <xdr:row>4</xdr:row>
      <xdr:rowOff>113732</xdr:rowOff>
    </xdr:from>
    <xdr:to>
      <xdr:col>15</xdr:col>
      <xdr:colOff>180074</xdr:colOff>
      <xdr:row>28</xdr:row>
      <xdr:rowOff>161119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56865</xdr:colOff>
      <xdr:row>4</xdr:row>
      <xdr:rowOff>113731</xdr:rowOff>
    </xdr:from>
    <xdr:to>
      <xdr:col>5</xdr:col>
      <xdr:colOff>0</xdr:colOff>
      <xdr:row>14</xdr:row>
      <xdr:rowOff>9477</xdr:rowOff>
    </xdr:to>
    <mc:AlternateContent xmlns:mc="http://schemas.openxmlformats.org/markup-compatibility/2006">
      <mc:Choice xmlns:a14="http://schemas.microsoft.com/office/drawing/2010/main" Requires="a14">
        <xdr:graphicFrame macro="">
          <xdr:nvGraphicFramePr>
            <xdr:cNvPr id="7" name="Primary Skill"/>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dr:sp macro="" textlink="">
          <xdr:nvSpPr>
            <xdr:cNvPr id="0" name=""/>
            <xdr:cNvSpPr>
              <a:spLocks noTextEdit="1"/>
            </xdr:cNvSpPr>
          </xdr:nvSpPr>
          <xdr:spPr>
            <a:xfrm>
              <a:off x="1383731" y="1080447"/>
              <a:ext cx="1933433" cy="16017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111795</xdr:colOff>
      <xdr:row>4</xdr:row>
      <xdr:rowOff>94777</xdr:rowOff>
    </xdr:from>
    <xdr:to>
      <xdr:col>8</xdr:col>
      <xdr:colOff>66343</xdr:colOff>
      <xdr:row>14</xdr:row>
      <xdr:rowOff>28432</xdr:rowOff>
    </xdr:to>
    <mc:AlternateContent xmlns:mc="http://schemas.openxmlformats.org/markup-compatibility/2006">
      <mc:Choice xmlns:a14="http://schemas.microsoft.com/office/drawing/2010/main" Requires="a14">
        <xdr:graphicFrame macro="">
          <xdr:nvGraphicFramePr>
            <xdr:cNvPr id="8"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428959" y="1061493"/>
              <a:ext cx="1944847" cy="1639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02.479860995372" createdVersion="8" refreshedVersion="8" minRefreshableVersion="3" recordCount="1000">
  <cacheSource type="worksheet">
    <worksheetSource ref="A1:S1001" sheet="Data"/>
  </cacheSource>
  <cacheFields count="19">
    <cacheField name="Freelancer_ID" numFmtId="0">
      <sharedItems/>
    </cacheField>
    <cacheField name="name_raw" numFmtId="0">
      <sharedItems/>
    </cacheField>
    <cacheField name="Full Name" numFmtId="0">
      <sharedItems/>
    </cacheField>
    <cacheField name="gender_raw" numFmtId="0">
      <sharedItems/>
    </cacheField>
    <cacheField name="Gender" numFmtId="0">
      <sharedItems/>
    </cacheField>
    <cacheField name="Age" numFmtId="0">
      <sharedItems containsString="0" containsBlank="1" containsNumber="1" containsInteger="1" minValue="20" maxValue="60"/>
    </cacheField>
    <cacheField name="Country" numFmtId="0">
      <sharedItems count="21">
        <s v="Italy"/>
        <s v="Australia"/>
        <s v="Germany"/>
        <s v="Netherlands"/>
        <s v="Indonesia"/>
        <s v="United States"/>
        <s v="Turkey"/>
        <s v="United Kingdom"/>
        <s v="Argentina"/>
        <s v="Japan"/>
        <s v="India"/>
        <s v="Brazil"/>
        <s v="South Korea"/>
        <s v="Russia"/>
        <s v="Canada"/>
        <s v="France"/>
        <s v="Egypt"/>
        <s v="South Africa"/>
        <s v="China"/>
        <s v="Mexico"/>
        <s v="Spain"/>
      </sharedItems>
    </cacheField>
    <cacheField name="Language" numFmtId="0">
      <sharedItems count="16">
        <s v="Italian"/>
        <s v="English"/>
        <s v="German"/>
        <s v="Dutch"/>
        <s v="Indonesian"/>
        <s v="Turkish"/>
        <s v="Spanish"/>
        <s v="Japanese"/>
        <s v="Hindi"/>
        <s v="Portuguese"/>
        <s v="Korean"/>
        <s v="Russian"/>
        <s v="French"/>
        <s v="Arabic"/>
        <s v="Afrikaans"/>
        <s v="Mandarin"/>
      </sharedItems>
    </cacheField>
    <cacheField name="Primary Skill" numFmtId="0">
      <sharedItems count="10">
        <s v="Blockchain Development"/>
        <s v="Mobile Apps"/>
        <s v="Graphic Design"/>
        <s v="Web Development"/>
        <s v="AI"/>
        <s v="Data Analysis"/>
        <s v="UI/UX Design"/>
        <s v="Cybersecurity"/>
        <s v="DevOps"/>
        <s v="Machine Learning"/>
      </sharedItems>
    </cacheField>
    <cacheField name="Years of Experience" numFmtId="0">
      <sharedItems containsString="0" containsBlank="1" containsNumber="1" containsInteger="1" minValue="0" maxValue="41"/>
    </cacheField>
    <cacheField name="Experience (Buckets)" numFmtId="0">
      <sharedItems count="5">
        <s v="11-15"/>
        <s v="21+"/>
        <s v="0-5"/>
        <s v="6-10"/>
        <s v="16-20"/>
      </sharedItems>
    </cacheField>
    <cacheField name="hourly_rate (USD)_raw" numFmtId="0">
      <sharedItems containsBlank="1" containsMixedTypes="1" containsNumber="1" containsInteger="1" minValue="20" maxValue="100"/>
    </cacheField>
    <cacheField name="HR Rate" numFmtId="1">
      <sharedItems containsBlank="1" containsMixedTypes="1" containsNumber="1" containsInteger="1" minValue="20" maxValue="100"/>
    </cacheField>
    <cacheField name="Hourly Rate" numFmtId="1">
      <sharedItems containsMixedTypes="1" containsNumber="1" containsInteger="1" minValue="20" maxValue="100" count="7">
        <n v="100"/>
        <n v="50"/>
        <n v="40"/>
        <n v="30"/>
        <n v="75"/>
        <s v="NA"/>
        <n v="20"/>
      </sharedItems>
    </cacheField>
    <cacheField name="Rating" numFmtId="0">
      <sharedItems containsBlank="1" containsMixedTypes="1" containsNumber="1" minValue="0" maxValue="5"/>
    </cacheField>
    <cacheField name="is_active_raw" numFmtId="0">
      <sharedItems containsBlank="1" containsMixedTypes="1" containsNumber="1" containsInteger="1" minValue="0" maxValue="1"/>
    </cacheField>
    <cacheField name="Status" numFmtId="0">
      <sharedItems containsBlank="1" count="3">
        <s v="Not Active"/>
        <s v="Active"/>
        <m/>
      </sharedItems>
    </cacheField>
    <cacheField name="client_satisfaction" numFmtId="0">
      <sharedItems containsString="0" containsBlank="1" containsNumber="1" minValue="0.6" maxValue="100"/>
    </cacheField>
    <cacheField name="Customer Satisfaction" numFmtId="0">
      <sharedItems containsString="0" containsBlank="1" containsNumber="1" minValue="0.6"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FL250001"/>
    <s v="Ms. Nicole Kidd"/>
    <s v="Nicole Kidd"/>
    <s v="f"/>
    <s v="Female"/>
    <n v="52"/>
    <x v="0"/>
    <x v="0"/>
    <x v="0"/>
    <n v="11"/>
    <x v="0"/>
    <n v="100"/>
    <n v="100"/>
    <x v="0"/>
    <b v="0"/>
    <n v="0"/>
    <x v="0"/>
    <m/>
    <m/>
  </r>
  <r>
    <s v="FL250002"/>
    <s v="Vanessa Garcia"/>
    <s v="Vanessa Garcia"/>
    <s v="FEMALE"/>
    <s v="Female"/>
    <n v="52"/>
    <x v="1"/>
    <x v="1"/>
    <x v="1"/>
    <n v="34"/>
    <x v="1"/>
    <s v="USD 100"/>
    <s v="100"/>
    <x v="0"/>
    <b v="0"/>
    <n v="1"/>
    <x v="1"/>
    <n v="0.84"/>
    <n v="0.84"/>
  </r>
  <r>
    <s v="FL250003"/>
    <s v="Juan Nelson"/>
    <s v="Juan Nelson"/>
    <s v="male"/>
    <s v="Male"/>
    <n v="53"/>
    <x v="2"/>
    <x v="2"/>
    <x v="2"/>
    <n v="31"/>
    <x v="1"/>
    <n v="50"/>
    <n v="50"/>
    <x v="1"/>
    <n v="0"/>
    <s v="N"/>
    <x v="0"/>
    <n v="0.71"/>
    <n v="0.71"/>
  </r>
  <r>
    <s v="FL250004"/>
    <s v="Amanda Spencer"/>
    <s v="Amanda Spencer"/>
    <s v="f"/>
    <s v="Female"/>
    <n v="38"/>
    <x v="1"/>
    <x v="1"/>
    <x v="3"/>
    <n v="4"/>
    <x v="2"/>
    <n v="40"/>
    <s v="40"/>
    <x v="2"/>
    <n v="1.5"/>
    <s v="N"/>
    <x v="0"/>
    <n v="0.9"/>
    <n v="0.9"/>
  </r>
  <r>
    <s v="FL250005"/>
    <s v="Lynn Curtis DDS"/>
    <s v="Lynn Curtis DDS"/>
    <s v="FEMALE"/>
    <s v="Female"/>
    <n v="53"/>
    <x v="2"/>
    <x v="2"/>
    <x v="3"/>
    <n v="27"/>
    <x v="1"/>
    <n v="30"/>
    <n v="30"/>
    <x v="3"/>
    <n v="4.8"/>
    <n v="0"/>
    <x v="0"/>
    <n v="0.83"/>
    <n v="0.83"/>
  </r>
  <r>
    <s v="FL250006"/>
    <s v="Lisa Johnson"/>
    <s v="Lisa Johnson"/>
    <s v="FEMALE"/>
    <s v="Female"/>
    <n v="59"/>
    <x v="3"/>
    <x v="3"/>
    <x v="4"/>
    <n v="14"/>
    <x v="0"/>
    <n v="30"/>
    <s v="30"/>
    <x v="3"/>
    <n v="2.4"/>
    <b v="0"/>
    <x v="0"/>
    <m/>
    <m/>
  </r>
  <r>
    <s v="FL250007"/>
    <s v="Eric Myers"/>
    <s v="Eric Myers"/>
    <s v="m"/>
    <s v="Male"/>
    <n v="52"/>
    <x v="4"/>
    <x v="4"/>
    <x v="5"/>
    <n v="10"/>
    <x v="3"/>
    <s v="USD 75"/>
    <s v="75"/>
    <x v="4"/>
    <n v="3.1"/>
    <n v="0"/>
    <x v="0"/>
    <n v="0.94"/>
    <n v="0.94"/>
  </r>
  <r>
    <s v="FL250008"/>
    <s v="Ricky Graham"/>
    <s v="Ricky Graham"/>
    <s v="male"/>
    <s v="Male"/>
    <n v="43"/>
    <x v="0"/>
    <x v="0"/>
    <x v="0"/>
    <n v="14"/>
    <x v="0"/>
    <s v="USD 40"/>
    <s v="40"/>
    <x v="2"/>
    <n v="4.5999999999999996"/>
    <b v="0"/>
    <x v="0"/>
    <n v="0.94"/>
    <n v="0.94"/>
  </r>
  <r>
    <s v="FL250009"/>
    <s v="Sean Martin"/>
    <s v="Sean Martin"/>
    <s v="male"/>
    <s v="Male"/>
    <n v="26"/>
    <x v="5"/>
    <x v="1"/>
    <x v="0"/>
    <n v="4"/>
    <x v="2"/>
    <m/>
    <m/>
    <x v="5"/>
    <n v="4"/>
    <b v="1"/>
    <x v="1"/>
    <n v="0.76"/>
    <n v="0.76"/>
  </r>
  <r>
    <s v="FL250010"/>
    <s v="Matthew Lloyd"/>
    <s v="Matthew Lloyd"/>
    <s v="male"/>
    <s v="Male"/>
    <n v="52"/>
    <x v="6"/>
    <x v="5"/>
    <x v="4"/>
    <n v="22"/>
    <x v="1"/>
    <n v="50"/>
    <s v="50"/>
    <x v="1"/>
    <m/>
    <n v="1"/>
    <x v="1"/>
    <m/>
    <m/>
  </r>
  <r>
    <s v="FL250011"/>
    <s v="Gavin Randall"/>
    <s v="Gavin Randall"/>
    <s v="m"/>
    <s v="Male"/>
    <n v="40"/>
    <x v="7"/>
    <x v="1"/>
    <x v="5"/>
    <n v="17"/>
    <x v="4"/>
    <n v="40"/>
    <n v="40"/>
    <x v="2"/>
    <n v="3.6"/>
    <s v="yes"/>
    <x v="1"/>
    <n v="0.77"/>
    <n v="0.77"/>
  </r>
  <r>
    <s v="FL250012"/>
    <s v="Michelle Curtis"/>
    <s v="Michelle Curtis"/>
    <s v="FEMALE"/>
    <s v="Female"/>
    <n v="55"/>
    <x v="8"/>
    <x v="6"/>
    <x v="6"/>
    <n v="15"/>
    <x v="0"/>
    <m/>
    <m/>
    <x v="5"/>
    <m/>
    <s v="Y"/>
    <x v="1"/>
    <n v="0.86"/>
    <n v="0.86"/>
  </r>
  <r>
    <s v="FL250013"/>
    <s v="Alice Schneider"/>
    <s v="Alice Schneider"/>
    <s v="FEMALE"/>
    <s v="Female"/>
    <n v="57"/>
    <x v="7"/>
    <x v="1"/>
    <x v="7"/>
    <n v="18"/>
    <x v="4"/>
    <m/>
    <m/>
    <x v="5"/>
    <n v="2"/>
    <n v="0"/>
    <x v="0"/>
    <n v="0.86"/>
    <n v="0.86"/>
  </r>
  <r>
    <s v="FL250014"/>
    <s v="Phillip Shelton"/>
    <s v="Phillip Shelton"/>
    <s v="male"/>
    <s v="Male"/>
    <n v="38"/>
    <x v="8"/>
    <x v="6"/>
    <x v="2"/>
    <n v="20"/>
    <x v="4"/>
    <s v="USD 75"/>
    <s v="75"/>
    <x v="4"/>
    <n v="2.9"/>
    <n v="1"/>
    <x v="1"/>
    <n v="0.93"/>
    <n v="0.93"/>
  </r>
  <r>
    <s v="FL250015"/>
    <s v="Edward Ferguson"/>
    <s v="Edward Ferguson"/>
    <s v="male"/>
    <s v="Male"/>
    <n v="50"/>
    <x v="2"/>
    <x v="2"/>
    <x v="5"/>
    <n v="22"/>
    <x v="1"/>
    <n v="75"/>
    <n v="75"/>
    <x v="4"/>
    <n v="3.7"/>
    <n v="1"/>
    <x v="1"/>
    <n v="0.7"/>
    <n v="0.7"/>
  </r>
  <r>
    <s v="FL250016"/>
    <s v="Wyatt Stout"/>
    <s v="Wyatt Stout"/>
    <s v="m"/>
    <s v="Male"/>
    <n v="42"/>
    <x v="9"/>
    <x v="7"/>
    <x v="5"/>
    <n v="0"/>
    <x v="2"/>
    <n v="30"/>
    <s v="30"/>
    <x v="3"/>
    <n v="1.2"/>
    <n v="0"/>
    <x v="0"/>
    <n v="0.69"/>
    <n v="0.69"/>
  </r>
  <r>
    <s v="FL250017"/>
    <s v="Laura Johnson"/>
    <s v="Laura Johnson"/>
    <s v="FEMALE"/>
    <s v="Female"/>
    <n v="39"/>
    <x v="1"/>
    <x v="1"/>
    <x v="8"/>
    <n v="13"/>
    <x v="0"/>
    <n v="30"/>
    <s v="30"/>
    <x v="3"/>
    <n v="2.5"/>
    <b v="0"/>
    <x v="0"/>
    <n v="0.6"/>
    <n v="0.6"/>
  </r>
  <r>
    <s v="FL250018"/>
    <s v="Scott Burns"/>
    <s v="Scott Burns"/>
    <s v="m"/>
    <s v="Male"/>
    <n v="56"/>
    <x v="10"/>
    <x v="8"/>
    <x v="0"/>
    <m/>
    <x v="2"/>
    <m/>
    <m/>
    <x v="5"/>
    <m/>
    <m/>
    <x v="2"/>
    <n v="0.87"/>
    <n v="0.87"/>
  </r>
  <r>
    <s v="FL250019"/>
    <s v="Tyler Aguirre"/>
    <s v="Tyler Aguirre"/>
    <s v="male"/>
    <s v="Male"/>
    <n v="56"/>
    <x v="5"/>
    <x v="1"/>
    <x v="6"/>
    <n v="31"/>
    <x v="1"/>
    <s v="USD 50"/>
    <s v="50"/>
    <x v="1"/>
    <n v="1.1000000000000001"/>
    <s v="N"/>
    <x v="0"/>
    <n v="0.75"/>
    <n v="0.75"/>
  </r>
  <r>
    <s v="FL250020"/>
    <s v="Matthew Lawson"/>
    <s v="Matthew Lawson"/>
    <s v="male"/>
    <s v="Male"/>
    <n v="57"/>
    <x v="0"/>
    <x v="0"/>
    <x v="3"/>
    <n v="3"/>
    <x v="2"/>
    <s v="USD 100"/>
    <s v="100"/>
    <x v="0"/>
    <n v="1.8"/>
    <s v="yes"/>
    <x v="1"/>
    <n v="0.68"/>
    <n v="0.68"/>
  </r>
  <r>
    <s v="FL250021"/>
    <s v="James Cherry"/>
    <s v="James Cherry"/>
    <s v="male"/>
    <s v="Male"/>
    <m/>
    <x v="4"/>
    <x v="4"/>
    <x v="4"/>
    <n v="9"/>
    <x v="3"/>
    <n v="50"/>
    <n v="50"/>
    <x v="1"/>
    <n v="1.8"/>
    <b v="0"/>
    <x v="0"/>
    <n v="0.65"/>
    <n v="0.65"/>
  </r>
  <r>
    <s v="FL250022"/>
    <s v="Samuel Sanford"/>
    <s v="Samuel Sanford"/>
    <s v="m"/>
    <s v="Male"/>
    <n v="51"/>
    <x v="9"/>
    <x v="7"/>
    <x v="8"/>
    <m/>
    <x v="2"/>
    <m/>
    <m/>
    <x v="5"/>
    <n v="2.4"/>
    <s v="N"/>
    <x v="0"/>
    <n v="0.69"/>
    <n v="0.69"/>
  </r>
  <r>
    <s v="FL250023"/>
    <s v="Cesar Greene"/>
    <s v="Cesar Greene"/>
    <s v="m"/>
    <s v="Male"/>
    <n v="51"/>
    <x v="11"/>
    <x v="9"/>
    <x v="7"/>
    <n v="21"/>
    <x v="1"/>
    <s v="USD 30"/>
    <s v="30"/>
    <x v="3"/>
    <n v="4.7"/>
    <s v="N"/>
    <x v="0"/>
    <m/>
    <m/>
  </r>
  <r>
    <s v="FL250024"/>
    <s v="Melanie Carter"/>
    <s v="Melanie Carter"/>
    <s v="FEMALE"/>
    <s v="Female"/>
    <n v="51"/>
    <x v="12"/>
    <x v="10"/>
    <x v="9"/>
    <n v="15"/>
    <x v="0"/>
    <n v="50"/>
    <s v="50"/>
    <x v="1"/>
    <n v="1.3"/>
    <n v="1"/>
    <x v="1"/>
    <n v="1"/>
    <n v="1"/>
  </r>
  <r>
    <s v="FL250025"/>
    <s v="Jennifer Martin"/>
    <s v="Jennifer Martin"/>
    <s v="f"/>
    <s v="Female"/>
    <n v="54"/>
    <x v="4"/>
    <x v="4"/>
    <x v="9"/>
    <n v="13"/>
    <x v="0"/>
    <n v="75"/>
    <n v="75"/>
    <x v="4"/>
    <n v="2.9"/>
    <m/>
    <x v="2"/>
    <n v="92"/>
    <n v="0.92"/>
  </r>
  <r>
    <s v="FL250026"/>
    <s v="Anna Mccann"/>
    <s v="Anna Mccann"/>
    <s v="FEMALE"/>
    <s v="Female"/>
    <n v="22"/>
    <x v="12"/>
    <x v="10"/>
    <x v="8"/>
    <n v="0"/>
    <x v="2"/>
    <s v="USD 30"/>
    <s v="30"/>
    <x v="3"/>
    <n v="1.2"/>
    <n v="1"/>
    <x v="1"/>
    <n v="0.7"/>
    <n v="0.7"/>
  </r>
  <r>
    <s v="FL250027"/>
    <s v="Marissa Bass"/>
    <s v="Marissa Bass"/>
    <s v="FEMALE"/>
    <s v="Female"/>
    <n v="34"/>
    <x v="9"/>
    <x v="7"/>
    <x v="0"/>
    <n v="8"/>
    <x v="3"/>
    <n v="20"/>
    <s v="20"/>
    <x v="6"/>
    <n v="0"/>
    <b v="1"/>
    <x v="1"/>
    <n v="0.89"/>
    <n v="0.89"/>
  </r>
  <r>
    <s v="FL250028"/>
    <s v="Alexis Day"/>
    <s v="Alexis Day"/>
    <s v="FEMALE"/>
    <s v="Female"/>
    <n v="36"/>
    <x v="13"/>
    <x v="11"/>
    <x v="2"/>
    <n v="11"/>
    <x v="0"/>
    <m/>
    <m/>
    <x v="5"/>
    <n v="1.8"/>
    <s v="Y"/>
    <x v="1"/>
    <n v="0.86"/>
    <n v="0.86"/>
  </r>
  <r>
    <s v="FL250029"/>
    <s v="Megan Jones"/>
    <s v="Megan Jones"/>
    <s v="FEMALE"/>
    <s v="Female"/>
    <n v="47"/>
    <x v="14"/>
    <x v="1"/>
    <x v="4"/>
    <n v="22"/>
    <x v="1"/>
    <n v="30"/>
    <n v="30"/>
    <x v="3"/>
    <n v="1.3"/>
    <n v="0"/>
    <x v="0"/>
    <n v="0.62"/>
    <n v="0.62"/>
  </r>
  <r>
    <s v="FL250030"/>
    <s v="Lori Smith"/>
    <s v="Lori Smith"/>
    <s v="FEMALE"/>
    <s v="Female"/>
    <n v="41"/>
    <x v="3"/>
    <x v="3"/>
    <x v="5"/>
    <n v="14"/>
    <x v="0"/>
    <s v="USD 75"/>
    <s v="75"/>
    <x v="4"/>
    <n v="1.2"/>
    <n v="0"/>
    <x v="0"/>
    <m/>
    <m/>
  </r>
  <r>
    <s v="FL250031"/>
    <s v="Eric Carpenter"/>
    <s v="Eric Carpenter"/>
    <s v="male"/>
    <s v="Male"/>
    <n v="22"/>
    <x v="3"/>
    <x v="3"/>
    <x v="8"/>
    <n v="4"/>
    <x v="2"/>
    <m/>
    <m/>
    <x v="5"/>
    <n v="1"/>
    <s v="yes"/>
    <x v="1"/>
    <m/>
    <m/>
  </r>
  <r>
    <s v="FL250032"/>
    <s v="Timothy Daniels"/>
    <s v="Timothy Daniels"/>
    <s v="male"/>
    <s v="Male"/>
    <n v="38"/>
    <x v="15"/>
    <x v="12"/>
    <x v="9"/>
    <n v="19"/>
    <x v="4"/>
    <s v="USD 100"/>
    <s v="100"/>
    <x v="0"/>
    <n v="4.2"/>
    <s v="N"/>
    <x v="0"/>
    <n v="0.68"/>
    <n v="0.68"/>
  </r>
  <r>
    <s v="FL250033"/>
    <s v="Robert Nelson"/>
    <s v="Robert Nelson"/>
    <s v="m"/>
    <s v="Male"/>
    <n v="46"/>
    <x v="16"/>
    <x v="13"/>
    <x v="4"/>
    <n v="9"/>
    <x v="3"/>
    <n v="20"/>
    <n v="20"/>
    <x v="6"/>
    <n v="1.4"/>
    <b v="1"/>
    <x v="1"/>
    <n v="0.76"/>
    <n v="0.76"/>
  </r>
  <r>
    <s v="FL250034"/>
    <s v="Michael Anderson"/>
    <s v="Michael Anderson"/>
    <s v="male"/>
    <s v="Male"/>
    <m/>
    <x v="12"/>
    <x v="10"/>
    <x v="4"/>
    <n v="9"/>
    <x v="3"/>
    <n v="40"/>
    <n v="40"/>
    <x v="2"/>
    <n v="2.4"/>
    <s v="yes"/>
    <x v="1"/>
    <n v="82"/>
    <n v="0.82"/>
  </r>
  <r>
    <s v="FL250035"/>
    <s v="Jessica Snyder"/>
    <s v="Jessica Snyder"/>
    <s v="FEMALE"/>
    <s v="Female"/>
    <n v="54"/>
    <x v="5"/>
    <x v="1"/>
    <x v="3"/>
    <n v="32"/>
    <x v="1"/>
    <n v="75"/>
    <n v="75"/>
    <x v="4"/>
    <n v="1"/>
    <s v="yes"/>
    <x v="1"/>
    <n v="0.81"/>
    <n v="0.81"/>
  </r>
  <r>
    <s v="FL250036"/>
    <s v="Emily Daniels"/>
    <s v="Emily Daniels"/>
    <s v="FEMALE"/>
    <s v="Female"/>
    <n v="52"/>
    <x v="12"/>
    <x v="10"/>
    <x v="3"/>
    <n v="28"/>
    <x v="1"/>
    <n v="20"/>
    <s v="20"/>
    <x v="6"/>
    <m/>
    <n v="0"/>
    <x v="0"/>
    <m/>
    <m/>
  </r>
  <r>
    <s v="FL250037"/>
    <s v="Jamie Ramirez"/>
    <s v="Jamie Ramirez"/>
    <s v="f"/>
    <s v="Female"/>
    <n v="42"/>
    <x v="9"/>
    <x v="7"/>
    <x v="1"/>
    <n v="6"/>
    <x v="3"/>
    <n v="40"/>
    <n v="40"/>
    <x v="2"/>
    <m/>
    <n v="0"/>
    <x v="0"/>
    <n v="0.63"/>
    <n v="0.63"/>
  </r>
  <r>
    <s v="FL250038"/>
    <s v="Amy Harrison"/>
    <s v="Amy Harrison"/>
    <s v="f"/>
    <s v="Female"/>
    <n v="29"/>
    <x v="3"/>
    <x v="3"/>
    <x v="2"/>
    <n v="10"/>
    <x v="3"/>
    <n v="40"/>
    <n v="40"/>
    <x v="2"/>
    <n v="2.2000000000000002"/>
    <s v="N"/>
    <x v="0"/>
    <n v="0.67"/>
    <n v="0.67"/>
  </r>
  <r>
    <s v="FL250039"/>
    <s v="Melinda White"/>
    <s v="Melinda White"/>
    <s v="f"/>
    <s v="Female"/>
    <n v="42"/>
    <x v="17"/>
    <x v="14"/>
    <x v="1"/>
    <n v="23"/>
    <x v="1"/>
    <n v="50"/>
    <n v="50"/>
    <x v="1"/>
    <n v="3.2"/>
    <s v="yes"/>
    <x v="1"/>
    <m/>
    <m/>
  </r>
  <r>
    <s v="FL250040"/>
    <s v="James Hernandez"/>
    <s v="James Hernandez"/>
    <s v="male"/>
    <s v="Male"/>
    <n v="60"/>
    <x v="9"/>
    <x v="7"/>
    <x v="3"/>
    <n v="13"/>
    <x v="0"/>
    <n v="20"/>
    <s v="20"/>
    <x v="6"/>
    <n v="3.6"/>
    <n v="0"/>
    <x v="0"/>
    <n v="0.8"/>
    <n v="0.8"/>
  </r>
  <r>
    <s v="FL250041"/>
    <s v="Angelica Rogers"/>
    <s v="Angelica Rogers"/>
    <s v="FEMALE"/>
    <s v="Female"/>
    <n v="59"/>
    <x v="7"/>
    <x v="1"/>
    <x v="4"/>
    <n v="3"/>
    <x v="2"/>
    <s v="USD 50"/>
    <s v="50"/>
    <x v="1"/>
    <n v="0"/>
    <s v="no"/>
    <x v="0"/>
    <m/>
    <m/>
  </r>
  <r>
    <s v="FL250042"/>
    <s v="Savannah Williams"/>
    <s v="Savannah Williams"/>
    <s v="FEMALE"/>
    <s v="Female"/>
    <n v="21"/>
    <x v="14"/>
    <x v="1"/>
    <x v="3"/>
    <n v="0"/>
    <x v="2"/>
    <n v="30"/>
    <n v="30"/>
    <x v="3"/>
    <n v="2.7"/>
    <n v="1"/>
    <x v="1"/>
    <n v="0.84"/>
    <n v="0.84"/>
  </r>
  <r>
    <s v="FL250043"/>
    <s v="Kaitlyn Schmidt"/>
    <s v="Kaitlyn Schmidt"/>
    <s v="FEMALE"/>
    <s v="Female"/>
    <n v="35"/>
    <x v="2"/>
    <x v="2"/>
    <x v="8"/>
    <n v="10"/>
    <x v="3"/>
    <n v="50"/>
    <s v="50"/>
    <x v="1"/>
    <n v="0"/>
    <s v="no"/>
    <x v="0"/>
    <m/>
    <m/>
  </r>
  <r>
    <s v="FL250044"/>
    <s v="Jason Singh"/>
    <s v="Jason Singh"/>
    <s v="male"/>
    <s v="Male"/>
    <n v="41"/>
    <x v="7"/>
    <x v="1"/>
    <x v="5"/>
    <m/>
    <x v="2"/>
    <n v="20"/>
    <n v="20"/>
    <x v="6"/>
    <n v="2.8"/>
    <b v="1"/>
    <x v="1"/>
    <n v="0.63"/>
    <n v="0.63"/>
  </r>
  <r>
    <s v="FL250045"/>
    <s v="Michelle Ramirez"/>
    <s v="Michelle Ramirez"/>
    <s v="FEMALE"/>
    <s v="Female"/>
    <n v="51"/>
    <x v="3"/>
    <x v="3"/>
    <x v="9"/>
    <n v="23"/>
    <x v="1"/>
    <n v="20"/>
    <n v="20"/>
    <x v="6"/>
    <n v="2.5"/>
    <b v="0"/>
    <x v="0"/>
    <n v="0.8"/>
    <n v="0.8"/>
  </r>
  <r>
    <s v="FL250046"/>
    <s v="James Brown"/>
    <s v="James Brown"/>
    <s v="male"/>
    <s v="Male"/>
    <n v="41"/>
    <x v="17"/>
    <x v="14"/>
    <x v="3"/>
    <n v="9"/>
    <x v="3"/>
    <n v="75"/>
    <s v="75"/>
    <x v="4"/>
    <n v="4.9000000000000004"/>
    <n v="1"/>
    <x v="1"/>
    <n v="0.74"/>
    <n v="0.74"/>
  </r>
  <r>
    <s v="FL250047"/>
    <s v="Mrs. Samantha Simmons"/>
    <s v="Samantha Simmons"/>
    <s v="FEMALE"/>
    <s v="Female"/>
    <n v="47"/>
    <x v="16"/>
    <x v="13"/>
    <x v="8"/>
    <n v="15"/>
    <x v="0"/>
    <s v="USD 30"/>
    <s v="30"/>
    <x v="3"/>
    <n v="4.5"/>
    <n v="1"/>
    <x v="1"/>
    <n v="0.85"/>
    <n v="0.85"/>
  </r>
  <r>
    <s v="FL250048"/>
    <s v="Chase Mason"/>
    <s v="Chase Mason"/>
    <s v="male"/>
    <s v="Male"/>
    <n v="25"/>
    <x v="18"/>
    <x v="15"/>
    <x v="2"/>
    <n v="4"/>
    <x v="2"/>
    <n v="50"/>
    <n v="50"/>
    <x v="1"/>
    <n v="2.7"/>
    <s v="N"/>
    <x v="0"/>
    <n v="0.77"/>
    <n v="0.77"/>
  </r>
  <r>
    <s v="FL250049"/>
    <s v="Dominique Ward"/>
    <s v="Dominique Ward"/>
    <s v="f"/>
    <s v="Female"/>
    <n v="25"/>
    <x v="19"/>
    <x v="6"/>
    <x v="1"/>
    <n v="7"/>
    <x v="3"/>
    <n v="20"/>
    <n v="20"/>
    <x v="6"/>
    <n v="1.9"/>
    <n v="0"/>
    <x v="0"/>
    <m/>
    <m/>
  </r>
  <r>
    <s v="FL250050"/>
    <s v="Lance Griffin"/>
    <s v="Lance Griffin"/>
    <s v="m"/>
    <s v="Male"/>
    <n v="29"/>
    <x v="3"/>
    <x v="3"/>
    <x v="6"/>
    <n v="1"/>
    <x v="2"/>
    <n v="20"/>
    <n v="20"/>
    <x v="6"/>
    <n v="1.4"/>
    <n v="1"/>
    <x v="1"/>
    <n v="0.63"/>
    <n v="0.63"/>
  </r>
  <r>
    <s v="FL250051"/>
    <s v="Julie Burgess"/>
    <s v="Julie Burgess"/>
    <s v="FEMALE"/>
    <s v="Female"/>
    <n v="23"/>
    <x v="8"/>
    <x v="6"/>
    <x v="7"/>
    <n v="0"/>
    <x v="2"/>
    <n v="75"/>
    <n v="75"/>
    <x v="4"/>
    <n v="1.9"/>
    <b v="1"/>
    <x v="1"/>
    <n v="0.79"/>
    <n v="0.79"/>
  </r>
  <r>
    <s v="FL250052"/>
    <s v="Don Scott"/>
    <s v="Don Scott"/>
    <s v="male"/>
    <s v="Male"/>
    <n v="31"/>
    <x v="15"/>
    <x v="12"/>
    <x v="5"/>
    <n v="8"/>
    <x v="3"/>
    <n v="50"/>
    <n v="50"/>
    <x v="1"/>
    <n v="3.4"/>
    <n v="0"/>
    <x v="0"/>
    <m/>
    <m/>
  </r>
  <r>
    <s v="FL250053"/>
    <s v="Kyle Atkinson"/>
    <s v="Kyle Atkinson"/>
    <s v="male"/>
    <s v="Male"/>
    <n v="51"/>
    <x v="2"/>
    <x v="2"/>
    <x v="9"/>
    <n v="33"/>
    <x v="1"/>
    <n v="75"/>
    <n v="75"/>
    <x v="4"/>
    <n v="3.3"/>
    <m/>
    <x v="2"/>
    <n v="0.68"/>
    <n v="0.68"/>
  </r>
  <r>
    <s v="FL250054"/>
    <s v="Jimmy Hogan"/>
    <s v="Jimmy Hogan"/>
    <s v="m"/>
    <s v="Male"/>
    <m/>
    <x v="20"/>
    <x v="6"/>
    <x v="6"/>
    <n v="1"/>
    <x v="2"/>
    <n v="30"/>
    <n v="30"/>
    <x v="3"/>
    <n v="0"/>
    <n v="0"/>
    <x v="0"/>
    <n v="0.68"/>
    <n v="0.68"/>
  </r>
  <r>
    <s v="FL250055"/>
    <s v="Jennifer Mcintyre"/>
    <s v="Jennifer Mcintyre"/>
    <s v="f"/>
    <s v="Female"/>
    <n v="29"/>
    <x v="6"/>
    <x v="5"/>
    <x v="7"/>
    <n v="11"/>
    <x v="0"/>
    <n v="100"/>
    <n v="100"/>
    <x v="0"/>
    <n v="2.2999999999999998"/>
    <b v="1"/>
    <x v="1"/>
    <n v="0.72"/>
    <n v="0.72"/>
  </r>
  <r>
    <s v="FL250056"/>
    <s v="Larry Simpson"/>
    <s v="Larry Simpson"/>
    <s v="m"/>
    <s v="Male"/>
    <n v="50"/>
    <x v="7"/>
    <x v="1"/>
    <x v="4"/>
    <n v="15"/>
    <x v="0"/>
    <m/>
    <m/>
    <x v="5"/>
    <n v="2"/>
    <s v="yes"/>
    <x v="1"/>
    <n v="0.65"/>
    <n v="0.65"/>
  </r>
  <r>
    <s v="FL250057"/>
    <s v="Laura Price"/>
    <s v="Laura Price"/>
    <s v="f"/>
    <s v="Female"/>
    <n v="26"/>
    <x v="7"/>
    <x v="1"/>
    <x v="8"/>
    <n v="8"/>
    <x v="3"/>
    <n v="50"/>
    <n v="50"/>
    <x v="1"/>
    <n v="1.3"/>
    <b v="0"/>
    <x v="0"/>
    <n v="0.76"/>
    <n v="0.76"/>
  </r>
  <r>
    <s v="FL250058"/>
    <s v="Mark Wright"/>
    <s v="Mark Wright"/>
    <s v="male"/>
    <s v="Male"/>
    <n v="38"/>
    <x v="14"/>
    <x v="1"/>
    <x v="4"/>
    <n v="17"/>
    <x v="4"/>
    <s v="USD 40"/>
    <s v="40"/>
    <x v="2"/>
    <n v="4"/>
    <b v="1"/>
    <x v="1"/>
    <n v="0.9"/>
    <n v="0.9"/>
  </r>
  <r>
    <s v="FL250059"/>
    <s v="Samantha Mcdaniel"/>
    <s v="Samantha Mcdaniel"/>
    <s v="FEMALE"/>
    <s v="Female"/>
    <n v="23"/>
    <x v="10"/>
    <x v="8"/>
    <x v="1"/>
    <m/>
    <x v="2"/>
    <n v="75"/>
    <n v="75"/>
    <x v="4"/>
    <n v="3.6"/>
    <n v="1"/>
    <x v="1"/>
    <n v="0.65"/>
    <n v="0.65"/>
  </r>
  <r>
    <s v="FL250060"/>
    <s v="Barbara Foster"/>
    <s v="Barbara Foster"/>
    <s v="FEMALE"/>
    <s v="Female"/>
    <n v="51"/>
    <x v="17"/>
    <x v="14"/>
    <x v="8"/>
    <n v="28"/>
    <x v="1"/>
    <n v="40"/>
    <n v="40"/>
    <x v="2"/>
    <n v="3.9"/>
    <n v="0"/>
    <x v="0"/>
    <n v="0.63"/>
    <n v="0.63"/>
  </r>
  <r>
    <s v="FL250061"/>
    <s v="Courtney Tran"/>
    <s v="Courtney Tran"/>
    <s v="f"/>
    <s v="Female"/>
    <n v="51"/>
    <x v="4"/>
    <x v="4"/>
    <x v="4"/>
    <n v="33"/>
    <x v="1"/>
    <n v="75"/>
    <s v="75"/>
    <x v="4"/>
    <n v="0"/>
    <b v="1"/>
    <x v="1"/>
    <m/>
    <m/>
  </r>
  <r>
    <s v="FL250062"/>
    <s v="Eddie Todd"/>
    <s v="Eddie Todd"/>
    <s v="male"/>
    <s v="Male"/>
    <n v="47"/>
    <x v="2"/>
    <x v="2"/>
    <x v="4"/>
    <n v="18"/>
    <x v="4"/>
    <n v="75"/>
    <n v="75"/>
    <x v="4"/>
    <n v="0"/>
    <n v="0"/>
    <x v="0"/>
    <m/>
    <m/>
  </r>
  <r>
    <s v="FL250063"/>
    <s v="Christine Johnson"/>
    <s v="Christine Johnson"/>
    <s v="FEMALE"/>
    <s v="Female"/>
    <n v="34"/>
    <x v="13"/>
    <x v="11"/>
    <x v="6"/>
    <n v="16"/>
    <x v="4"/>
    <n v="20"/>
    <s v="20"/>
    <x v="6"/>
    <n v="2.2999999999999998"/>
    <s v="yes"/>
    <x v="1"/>
    <n v="0.93"/>
    <n v="0.93"/>
  </r>
  <r>
    <s v="FL250064"/>
    <s v="Leah Phelps"/>
    <s v="Leah Phelps"/>
    <s v="f"/>
    <s v="Female"/>
    <n v="58"/>
    <x v="4"/>
    <x v="4"/>
    <x v="5"/>
    <n v="35"/>
    <x v="1"/>
    <s v="USD 50"/>
    <s v="50"/>
    <x v="1"/>
    <n v="4.7"/>
    <s v="no"/>
    <x v="0"/>
    <n v="0.7"/>
    <n v="0.7"/>
  </r>
  <r>
    <s v="FL250065"/>
    <s v="Rebekah Williams"/>
    <s v="Rebekah Williams"/>
    <s v="f"/>
    <s v="Female"/>
    <n v="50"/>
    <x v="13"/>
    <x v="11"/>
    <x v="4"/>
    <n v="14"/>
    <x v="0"/>
    <m/>
    <m/>
    <x v="5"/>
    <n v="3.5"/>
    <s v="Y"/>
    <x v="1"/>
    <n v="0.83"/>
    <n v="0.83"/>
  </r>
  <r>
    <s v="FL250066"/>
    <s v="Crystal Wilson"/>
    <s v="Crystal Wilson"/>
    <s v="FEMALE"/>
    <s v="Female"/>
    <n v="34"/>
    <x v="20"/>
    <x v="6"/>
    <x v="3"/>
    <n v="12"/>
    <x v="0"/>
    <n v="40"/>
    <n v="40"/>
    <x v="2"/>
    <n v="2.4"/>
    <n v="1"/>
    <x v="1"/>
    <n v="64"/>
    <n v="0.64"/>
  </r>
  <r>
    <s v="FL250067"/>
    <s v="Ashley Cordova"/>
    <s v="Ashley Cordova"/>
    <s v="FEMALE"/>
    <s v="Female"/>
    <n v="45"/>
    <x v="11"/>
    <x v="9"/>
    <x v="4"/>
    <n v="11"/>
    <x v="0"/>
    <s v="USD 75"/>
    <s v="75"/>
    <x v="4"/>
    <n v="4"/>
    <s v="N"/>
    <x v="0"/>
    <n v="1"/>
    <n v="1"/>
  </r>
  <r>
    <s v="FL250068"/>
    <s v="Vicki Kelly"/>
    <s v="Vicki Kelly"/>
    <s v="FEMALE"/>
    <s v="Female"/>
    <n v="55"/>
    <x v="11"/>
    <x v="9"/>
    <x v="3"/>
    <n v="0"/>
    <x v="2"/>
    <n v="40"/>
    <s v="40"/>
    <x v="2"/>
    <n v="0"/>
    <b v="1"/>
    <x v="1"/>
    <m/>
    <m/>
  </r>
  <r>
    <s v="FL250069"/>
    <s v="Corey Warren"/>
    <s v="Corey Warren"/>
    <s v="m"/>
    <s v="Male"/>
    <m/>
    <x v="8"/>
    <x v="6"/>
    <x v="6"/>
    <n v="6"/>
    <x v="3"/>
    <n v="100"/>
    <n v="100"/>
    <x v="0"/>
    <n v="1.5"/>
    <b v="0"/>
    <x v="0"/>
    <m/>
    <m/>
  </r>
  <r>
    <s v="FL250070"/>
    <s v="Gina Thompson"/>
    <s v="Gina Thompson"/>
    <s v="FEMALE"/>
    <s v="Female"/>
    <n v="60"/>
    <x v="18"/>
    <x v="15"/>
    <x v="6"/>
    <n v="38"/>
    <x v="1"/>
    <n v="20"/>
    <s v="20"/>
    <x v="6"/>
    <n v="2"/>
    <s v="no"/>
    <x v="0"/>
    <n v="0.71"/>
    <n v="0.71"/>
  </r>
  <r>
    <s v="FL250071"/>
    <s v="Yvonne Berg"/>
    <s v="Yvonne Berg"/>
    <s v="f"/>
    <s v="Female"/>
    <n v="33"/>
    <x v="17"/>
    <x v="14"/>
    <x v="1"/>
    <n v="11"/>
    <x v="0"/>
    <m/>
    <m/>
    <x v="5"/>
    <m/>
    <s v="yes"/>
    <x v="1"/>
    <n v="0.84"/>
    <n v="0.84"/>
  </r>
  <r>
    <s v="FL250072"/>
    <s v="Thomas Miller"/>
    <s v="Thomas Miller"/>
    <s v="m"/>
    <s v="Male"/>
    <n v="60"/>
    <x v="0"/>
    <x v="0"/>
    <x v="8"/>
    <n v="13"/>
    <x v="0"/>
    <s v="USD 50"/>
    <s v="50"/>
    <x v="1"/>
    <n v="1"/>
    <b v="0"/>
    <x v="0"/>
    <m/>
    <m/>
  </r>
  <r>
    <s v="FL250073"/>
    <s v="Nicholas Burton"/>
    <s v="Nicholas Burton"/>
    <s v="male"/>
    <s v="Male"/>
    <n v="40"/>
    <x v="5"/>
    <x v="1"/>
    <x v="3"/>
    <n v="9"/>
    <x v="3"/>
    <n v="100"/>
    <s v="100"/>
    <x v="0"/>
    <n v="4.5"/>
    <s v="yes"/>
    <x v="1"/>
    <n v="0.69"/>
    <n v="0.69"/>
  </r>
  <r>
    <s v="FL250074"/>
    <s v="Jorge Riley"/>
    <s v="Jorge Riley"/>
    <s v="male"/>
    <s v="Male"/>
    <n v="59"/>
    <x v="1"/>
    <x v="1"/>
    <x v="0"/>
    <n v="4"/>
    <x v="2"/>
    <m/>
    <m/>
    <x v="5"/>
    <n v="1.9"/>
    <b v="0"/>
    <x v="0"/>
    <n v="88"/>
    <n v="0.88"/>
  </r>
  <r>
    <s v="FL250075"/>
    <s v="Melvin Harris"/>
    <s v="Melvin Harris"/>
    <s v="m"/>
    <s v="Male"/>
    <n v="36"/>
    <x v="0"/>
    <x v="0"/>
    <x v="9"/>
    <n v="14"/>
    <x v="0"/>
    <n v="100"/>
    <s v="100"/>
    <x v="0"/>
    <n v="3.7"/>
    <n v="0"/>
    <x v="0"/>
    <m/>
    <m/>
  </r>
  <r>
    <s v="FL250076"/>
    <s v="Jeremy Meyer"/>
    <s v="Jeremy Meyer"/>
    <s v="male"/>
    <s v="Male"/>
    <n v="32"/>
    <x v="10"/>
    <x v="8"/>
    <x v="5"/>
    <m/>
    <x v="2"/>
    <n v="30"/>
    <n v="30"/>
    <x v="3"/>
    <n v="1.9"/>
    <b v="1"/>
    <x v="1"/>
    <n v="0.96"/>
    <n v="0.96"/>
  </r>
  <r>
    <s v="FL250077"/>
    <s v="Timothy Lee"/>
    <s v="Timothy Lee"/>
    <s v="male"/>
    <s v="Male"/>
    <n v="59"/>
    <x v="1"/>
    <x v="1"/>
    <x v="4"/>
    <n v="9"/>
    <x v="3"/>
    <s v="USD 75"/>
    <s v="75"/>
    <x v="4"/>
    <n v="4"/>
    <n v="1"/>
    <x v="1"/>
    <n v="96"/>
    <n v="0.96"/>
  </r>
  <r>
    <s v="FL250078"/>
    <s v="Diana Bautista"/>
    <s v="Diana Bautista"/>
    <s v="f"/>
    <s v="Female"/>
    <n v="54"/>
    <x v="20"/>
    <x v="6"/>
    <x v="8"/>
    <n v="32"/>
    <x v="1"/>
    <s v="USD 40"/>
    <s v="40"/>
    <x v="2"/>
    <n v="1.8"/>
    <s v="N"/>
    <x v="0"/>
    <m/>
    <m/>
  </r>
  <r>
    <s v="FL250079"/>
    <s v="Leslie Rodriguez"/>
    <s v="Leslie Rodriguez"/>
    <s v="f"/>
    <s v="Female"/>
    <n v="37"/>
    <x v="14"/>
    <x v="1"/>
    <x v="2"/>
    <n v="9"/>
    <x v="3"/>
    <m/>
    <m/>
    <x v="5"/>
    <n v="0"/>
    <n v="1"/>
    <x v="1"/>
    <n v="0.89"/>
    <n v="0.89"/>
  </r>
  <r>
    <s v="FL250080"/>
    <s v="Noah Wiggins"/>
    <s v="Noah Wiggins"/>
    <s v="male"/>
    <s v="Male"/>
    <n v="54"/>
    <x v="10"/>
    <x v="8"/>
    <x v="9"/>
    <n v="21"/>
    <x v="1"/>
    <n v="100"/>
    <s v="100"/>
    <x v="0"/>
    <n v="4.5999999999999996"/>
    <b v="0"/>
    <x v="0"/>
    <m/>
    <m/>
  </r>
  <r>
    <s v="FL250081"/>
    <s v="Bridget Williams"/>
    <s v="Bridget Williams"/>
    <s v="FEMALE"/>
    <s v="Female"/>
    <n v="33"/>
    <x v="8"/>
    <x v="6"/>
    <x v="6"/>
    <n v="12"/>
    <x v="0"/>
    <n v="100"/>
    <n v="100"/>
    <x v="0"/>
    <n v="3.6"/>
    <n v="0"/>
    <x v="0"/>
    <n v="0.63"/>
    <n v="0.63"/>
  </r>
  <r>
    <s v="FL250082"/>
    <s v="Veronica Baker"/>
    <s v="Veronica Baker"/>
    <s v="f"/>
    <s v="Female"/>
    <n v="25"/>
    <x v="16"/>
    <x v="13"/>
    <x v="3"/>
    <n v="7"/>
    <x v="3"/>
    <s v="USD 40"/>
    <s v="40"/>
    <x v="2"/>
    <n v="4.4000000000000004"/>
    <m/>
    <x v="2"/>
    <n v="81"/>
    <n v="0.81"/>
  </r>
  <r>
    <s v="FL250083"/>
    <s v="Andrew Avila"/>
    <s v="Andrew Avila"/>
    <s v="male"/>
    <s v="Male"/>
    <m/>
    <x v="18"/>
    <x v="15"/>
    <x v="8"/>
    <n v="3"/>
    <x v="2"/>
    <n v="40"/>
    <n v="40"/>
    <x v="2"/>
    <n v="4.5999999999999996"/>
    <s v="N"/>
    <x v="0"/>
    <n v="0.74"/>
    <n v="0.74"/>
  </r>
  <r>
    <s v="FL250084"/>
    <s v="Michael Roberson"/>
    <s v="Michael Roberson"/>
    <s v="male"/>
    <s v="Male"/>
    <n v="35"/>
    <x v="12"/>
    <x v="10"/>
    <x v="3"/>
    <n v="5"/>
    <x v="2"/>
    <n v="75"/>
    <s v="75"/>
    <x v="4"/>
    <n v="3.2"/>
    <b v="0"/>
    <x v="0"/>
    <n v="0.72"/>
    <n v="0.72"/>
  </r>
  <r>
    <s v="FL250085"/>
    <s v="Austin Jenkins"/>
    <s v="Austin Jenkins"/>
    <s v="male"/>
    <s v="Male"/>
    <n v="59"/>
    <x v="12"/>
    <x v="10"/>
    <x v="4"/>
    <n v="30"/>
    <x v="1"/>
    <n v="40"/>
    <s v="40"/>
    <x v="2"/>
    <n v="0"/>
    <b v="1"/>
    <x v="1"/>
    <m/>
    <m/>
  </r>
  <r>
    <s v="FL250086"/>
    <s v="Brenda Green"/>
    <s v="Brenda Green"/>
    <s v="FEMALE"/>
    <s v="Female"/>
    <n v="21"/>
    <x v="18"/>
    <x v="15"/>
    <x v="8"/>
    <n v="2"/>
    <x v="2"/>
    <n v="100"/>
    <n v="100"/>
    <x v="0"/>
    <n v="2.6"/>
    <s v="Y"/>
    <x v="1"/>
    <n v="0.85"/>
    <n v="0.85"/>
  </r>
  <r>
    <s v="FL250087"/>
    <s v="Samuel Pierce"/>
    <s v="Samuel Pierce"/>
    <s v="m"/>
    <s v="Male"/>
    <n v="25"/>
    <x v="5"/>
    <x v="1"/>
    <x v="1"/>
    <n v="2"/>
    <x v="2"/>
    <n v="75"/>
    <s v="75"/>
    <x v="4"/>
    <n v="3.7"/>
    <s v="N"/>
    <x v="0"/>
    <m/>
    <m/>
  </r>
  <r>
    <s v="FL250088"/>
    <s v="Briana Smith"/>
    <s v="Briana Smith"/>
    <s v="f"/>
    <s v="Female"/>
    <n v="38"/>
    <x v="19"/>
    <x v="6"/>
    <x v="3"/>
    <n v="19"/>
    <x v="4"/>
    <n v="75"/>
    <n v="75"/>
    <x v="4"/>
    <n v="2.2999999999999998"/>
    <b v="0"/>
    <x v="0"/>
    <n v="0.61"/>
    <n v="0.61"/>
  </r>
  <r>
    <s v="FL250089"/>
    <s v="Ronald Barrett"/>
    <s v="Ronald Barrett"/>
    <s v="male"/>
    <s v="Male"/>
    <n v="57"/>
    <x v="13"/>
    <x v="11"/>
    <x v="4"/>
    <n v="16"/>
    <x v="4"/>
    <n v="100"/>
    <n v="100"/>
    <x v="0"/>
    <n v="3.1"/>
    <b v="0"/>
    <x v="0"/>
    <m/>
    <m/>
  </r>
  <r>
    <s v="FL250090"/>
    <s v="Matthew Smith"/>
    <s v="Matthew Smith"/>
    <s v="m"/>
    <s v="Male"/>
    <n v="32"/>
    <x v="10"/>
    <x v="8"/>
    <x v="1"/>
    <n v="10"/>
    <x v="3"/>
    <n v="20"/>
    <s v="20"/>
    <x v="6"/>
    <n v="2.4"/>
    <n v="0"/>
    <x v="0"/>
    <n v="0.86"/>
    <n v="0.86"/>
  </r>
  <r>
    <s v="FL250091"/>
    <s v="Logan Huang"/>
    <s v="Logan Huang"/>
    <s v="male"/>
    <s v="Male"/>
    <n v="21"/>
    <x v="0"/>
    <x v="0"/>
    <x v="8"/>
    <n v="2"/>
    <x v="2"/>
    <s v="USD 100"/>
    <s v="100"/>
    <x v="0"/>
    <n v="1.6"/>
    <s v="yes"/>
    <x v="1"/>
    <n v="0.97"/>
    <n v="0.97"/>
  </r>
  <r>
    <s v="FL250092"/>
    <s v="Miranda Hutchinson"/>
    <s v="Miranda Hutchinson"/>
    <s v="FEMALE"/>
    <s v="Female"/>
    <n v="57"/>
    <x v="14"/>
    <x v="1"/>
    <x v="7"/>
    <n v="18"/>
    <x v="4"/>
    <n v="50"/>
    <n v="50"/>
    <x v="1"/>
    <n v="2.4"/>
    <n v="1"/>
    <x v="1"/>
    <n v="0.63"/>
    <n v="0.63"/>
  </r>
  <r>
    <s v="FL250093"/>
    <s v="Paul Richardson"/>
    <s v="Paul Richardson"/>
    <s v="male"/>
    <s v="Male"/>
    <n v="53"/>
    <x v="18"/>
    <x v="15"/>
    <x v="6"/>
    <n v="21"/>
    <x v="1"/>
    <s v="USD 100"/>
    <s v="100"/>
    <x v="0"/>
    <m/>
    <s v="Y"/>
    <x v="1"/>
    <n v="0.97"/>
    <n v="0.97"/>
  </r>
  <r>
    <s v="FL250094"/>
    <s v="Jose Jones"/>
    <s v="Jose Jones"/>
    <s v="m"/>
    <s v="Male"/>
    <n v="35"/>
    <x v="13"/>
    <x v="11"/>
    <x v="0"/>
    <n v="3"/>
    <x v="2"/>
    <s v="USD 30"/>
    <s v="30"/>
    <x v="3"/>
    <n v="3.8"/>
    <s v="yes"/>
    <x v="1"/>
    <n v="0.81"/>
    <n v="0.81"/>
  </r>
  <r>
    <s v="FL250095"/>
    <s v="Denise Smith"/>
    <s v="Denise Smith"/>
    <s v="f"/>
    <s v="Female"/>
    <n v="54"/>
    <x v="18"/>
    <x v="15"/>
    <x v="9"/>
    <n v="17"/>
    <x v="4"/>
    <n v="20"/>
    <n v="20"/>
    <x v="6"/>
    <n v="1.7"/>
    <n v="0"/>
    <x v="0"/>
    <n v="0.69"/>
    <n v="0.69"/>
  </r>
  <r>
    <s v="FL250096"/>
    <s v="Shelby Mcmahon"/>
    <s v="Shelby Mcmahon"/>
    <s v="FEMALE"/>
    <s v="Female"/>
    <n v="36"/>
    <x v="0"/>
    <x v="0"/>
    <x v="6"/>
    <n v="0"/>
    <x v="2"/>
    <n v="20"/>
    <n v="20"/>
    <x v="6"/>
    <n v="1.3"/>
    <s v="Y"/>
    <x v="1"/>
    <n v="0.64"/>
    <n v="0.64"/>
  </r>
  <r>
    <s v="FL250097"/>
    <s v="Bethany Wright"/>
    <s v="Bethany Wright"/>
    <s v="f"/>
    <s v="Female"/>
    <n v="49"/>
    <x v="20"/>
    <x v="6"/>
    <x v="7"/>
    <n v="25"/>
    <x v="1"/>
    <n v="50"/>
    <n v="50"/>
    <x v="1"/>
    <n v="5"/>
    <s v="N"/>
    <x v="0"/>
    <n v="0.77"/>
    <n v="0.77"/>
  </r>
  <r>
    <s v="FL250098"/>
    <s v="David Ortiz"/>
    <s v="David Ortiz"/>
    <s v="male"/>
    <s v="Male"/>
    <n v="37"/>
    <x v="5"/>
    <x v="1"/>
    <x v="0"/>
    <n v="17"/>
    <x v="4"/>
    <n v="20"/>
    <n v="20"/>
    <x v="6"/>
    <n v="3.3"/>
    <n v="0"/>
    <x v="0"/>
    <n v="96"/>
    <n v="0.96"/>
  </r>
  <r>
    <s v="FL250099"/>
    <s v="Andrew Lynch"/>
    <s v="Andrew Lynch"/>
    <s v="male"/>
    <s v="Male"/>
    <m/>
    <x v="5"/>
    <x v="1"/>
    <x v="6"/>
    <n v="5"/>
    <x v="2"/>
    <n v="20"/>
    <s v="20"/>
    <x v="6"/>
    <n v="1.1000000000000001"/>
    <s v="no"/>
    <x v="0"/>
    <n v="0.74"/>
    <n v="0.74"/>
  </r>
  <r>
    <s v="FL250100"/>
    <s v="Kristopher Meyers"/>
    <s v="Kristopher Meyers"/>
    <s v="m"/>
    <s v="Male"/>
    <n v="32"/>
    <x v="16"/>
    <x v="13"/>
    <x v="6"/>
    <n v="10"/>
    <x v="3"/>
    <n v="50"/>
    <n v="50"/>
    <x v="1"/>
    <n v="1.2"/>
    <b v="0"/>
    <x v="0"/>
    <n v="0.89"/>
    <n v="0.89"/>
  </r>
  <r>
    <s v="FL250101"/>
    <s v="Thomas Roth"/>
    <s v="Thomas Roth"/>
    <s v="m"/>
    <s v="Male"/>
    <n v="35"/>
    <x v="10"/>
    <x v="8"/>
    <x v="1"/>
    <n v="0"/>
    <x v="2"/>
    <m/>
    <m/>
    <x v="5"/>
    <n v="2"/>
    <n v="1"/>
    <x v="1"/>
    <n v="0.64"/>
    <n v="0.64"/>
  </r>
  <r>
    <s v="FL250102"/>
    <s v="Vicki Brown"/>
    <s v="Vicki Brown"/>
    <s v="f"/>
    <s v="Female"/>
    <n v="51"/>
    <x v="13"/>
    <x v="11"/>
    <x v="2"/>
    <n v="2"/>
    <x v="2"/>
    <n v="30"/>
    <s v="30"/>
    <x v="3"/>
    <n v="4.5"/>
    <n v="0"/>
    <x v="0"/>
    <n v="64"/>
    <n v="0.64"/>
  </r>
  <r>
    <s v="FL250103"/>
    <s v="Stacy Sutton"/>
    <s v="Stacy Sutton"/>
    <s v="f"/>
    <s v="Female"/>
    <n v="50"/>
    <x v="13"/>
    <x v="11"/>
    <x v="8"/>
    <n v="30"/>
    <x v="1"/>
    <n v="100"/>
    <n v="100"/>
    <x v="0"/>
    <n v="3"/>
    <n v="1"/>
    <x v="1"/>
    <n v="0.73"/>
    <n v="0.73"/>
  </r>
  <r>
    <s v="FL250104"/>
    <s v="Kimberly Holland"/>
    <s v="Kimberly Holland"/>
    <s v="f"/>
    <s v="Female"/>
    <n v="21"/>
    <x v="6"/>
    <x v="5"/>
    <x v="0"/>
    <n v="2"/>
    <x v="2"/>
    <n v="50"/>
    <s v="50"/>
    <x v="1"/>
    <n v="4.9000000000000004"/>
    <s v="yes"/>
    <x v="1"/>
    <n v="0.68"/>
    <n v="0.68"/>
  </r>
  <r>
    <s v="FL250105"/>
    <s v="Travis Richardson"/>
    <s v="Travis Richardson"/>
    <s v="male"/>
    <s v="Male"/>
    <n v="25"/>
    <x v="5"/>
    <x v="1"/>
    <x v="2"/>
    <n v="3"/>
    <x v="2"/>
    <n v="30"/>
    <s v="30"/>
    <x v="3"/>
    <m/>
    <s v="no"/>
    <x v="0"/>
    <n v="0.88"/>
    <n v="0.88"/>
  </r>
  <r>
    <s v="FL250106"/>
    <s v="Jasmin Ho"/>
    <s v="Jasmin Ho"/>
    <s v="FEMALE"/>
    <s v="Female"/>
    <n v="57"/>
    <x v="15"/>
    <x v="12"/>
    <x v="8"/>
    <n v="21"/>
    <x v="1"/>
    <n v="40"/>
    <s v="40"/>
    <x v="2"/>
    <n v="2.5"/>
    <n v="0"/>
    <x v="0"/>
    <n v="0.77"/>
    <n v="0.77"/>
  </r>
  <r>
    <s v="FL250107"/>
    <s v="Mark Paul"/>
    <s v="Mark Paul"/>
    <s v="m"/>
    <s v="Male"/>
    <n v="58"/>
    <x v="13"/>
    <x v="11"/>
    <x v="0"/>
    <n v="3"/>
    <x v="2"/>
    <m/>
    <m/>
    <x v="5"/>
    <n v="0"/>
    <n v="1"/>
    <x v="1"/>
    <m/>
    <m/>
  </r>
  <r>
    <s v="FL250108"/>
    <s v="Jennifer Lewis"/>
    <s v="Jennifer Lewis"/>
    <s v="f"/>
    <s v="Female"/>
    <n v="45"/>
    <x v="4"/>
    <x v="4"/>
    <x v="1"/>
    <n v="19"/>
    <x v="4"/>
    <n v="40"/>
    <n v="40"/>
    <x v="2"/>
    <m/>
    <n v="1"/>
    <x v="1"/>
    <n v="0.72"/>
    <n v="0.72"/>
  </r>
  <r>
    <s v="FL250109"/>
    <s v="Elizabeth Lester"/>
    <s v="Elizabeth Lester"/>
    <s v="f"/>
    <s v="Female"/>
    <n v="23"/>
    <x v="5"/>
    <x v="1"/>
    <x v="3"/>
    <n v="0"/>
    <x v="2"/>
    <n v="20"/>
    <n v="20"/>
    <x v="6"/>
    <n v="4.7"/>
    <s v="Y"/>
    <x v="1"/>
    <n v="0.6"/>
    <n v="0.6"/>
  </r>
  <r>
    <s v="FL250110"/>
    <s v="Kimberly Griffin"/>
    <s v="Kimberly Griffin"/>
    <s v="FEMALE"/>
    <s v="Female"/>
    <n v="46"/>
    <x v="5"/>
    <x v="1"/>
    <x v="4"/>
    <n v="9"/>
    <x v="3"/>
    <n v="30"/>
    <s v="30"/>
    <x v="3"/>
    <n v="3.5"/>
    <m/>
    <x v="2"/>
    <n v="72"/>
    <n v="0.72"/>
  </r>
  <r>
    <s v="FL250111"/>
    <s v="Tyler Warner"/>
    <s v="Tyler Warner"/>
    <s v="male"/>
    <s v="Male"/>
    <n v="27"/>
    <x v="8"/>
    <x v="6"/>
    <x v="6"/>
    <n v="5"/>
    <x v="2"/>
    <n v="30"/>
    <n v="30"/>
    <x v="3"/>
    <m/>
    <s v="N"/>
    <x v="0"/>
    <n v="0.92"/>
    <n v="0.92"/>
  </r>
  <r>
    <s v="FL250112"/>
    <s v="Jane Cox"/>
    <s v="Jane Cox"/>
    <s v="FEMALE"/>
    <s v="Female"/>
    <n v="32"/>
    <x v="5"/>
    <x v="1"/>
    <x v="9"/>
    <n v="6"/>
    <x v="3"/>
    <s v="USD 50"/>
    <s v="50"/>
    <x v="1"/>
    <n v="3.4"/>
    <n v="1"/>
    <x v="1"/>
    <m/>
    <m/>
  </r>
  <r>
    <s v="FL250113"/>
    <s v="Leah Williams"/>
    <s v="Leah Williams"/>
    <s v="f"/>
    <s v="Female"/>
    <n v="48"/>
    <x v="8"/>
    <x v="6"/>
    <x v="9"/>
    <n v="6"/>
    <x v="3"/>
    <s v="USD 75"/>
    <s v="75"/>
    <x v="4"/>
    <n v="2.5"/>
    <m/>
    <x v="2"/>
    <n v="0.92"/>
    <n v="0.92"/>
  </r>
  <r>
    <s v="FL250114"/>
    <s v="Kevin Wong"/>
    <s v="Kevin Wong"/>
    <s v="male"/>
    <s v="Male"/>
    <n v="30"/>
    <x v="6"/>
    <x v="5"/>
    <x v="1"/>
    <n v="3"/>
    <x v="2"/>
    <n v="30"/>
    <s v="30"/>
    <x v="3"/>
    <n v="1.1000000000000001"/>
    <b v="1"/>
    <x v="1"/>
    <m/>
    <m/>
  </r>
  <r>
    <s v="FL250115"/>
    <s v="Robert Andrews"/>
    <s v="Robert Andrews"/>
    <s v="male"/>
    <s v="Male"/>
    <n v="59"/>
    <x v="6"/>
    <x v="5"/>
    <x v="4"/>
    <n v="13"/>
    <x v="0"/>
    <s v="USD 20"/>
    <s v="20"/>
    <x v="6"/>
    <n v="4.8"/>
    <m/>
    <x v="2"/>
    <m/>
    <m/>
  </r>
  <r>
    <s v="FL250116"/>
    <s v="Jessica Torres"/>
    <s v="Jessica Torres"/>
    <s v="FEMALE"/>
    <s v="Female"/>
    <n v="32"/>
    <x v="19"/>
    <x v="6"/>
    <x v="4"/>
    <n v="5"/>
    <x v="2"/>
    <n v="30"/>
    <s v="30"/>
    <x v="3"/>
    <m/>
    <n v="0"/>
    <x v="0"/>
    <n v="0.86"/>
    <n v="0.86"/>
  </r>
  <r>
    <s v="FL250117"/>
    <s v="Teresa Kim"/>
    <s v="Teresa Kim"/>
    <s v="FEMALE"/>
    <s v="Female"/>
    <n v="57"/>
    <x v="16"/>
    <x v="13"/>
    <x v="6"/>
    <n v="4"/>
    <x v="2"/>
    <s v="USD 40"/>
    <s v="40"/>
    <x v="2"/>
    <n v="3.4"/>
    <n v="1"/>
    <x v="1"/>
    <n v="0.68"/>
    <n v="0.68"/>
  </r>
  <r>
    <s v="FL250118"/>
    <s v="Jon Morgan"/>
    <s v="Jon Morgan"/>
    <s v="male"/>
    <s v="Male"/>
    <n v="27"/>
    <x v="1"/>
    <x v="1"/>
    <x v="9"/>
    <n v="7"/>
    <x v="3"/>
    <s v="USD 20"/>
    <s v="20"/>
    <x v="6"/>
    <n v="3.2"/>
    <n v="1"/>
    <x v="1"/>
    <n v="0.62"/>
    <n v="0.62"/>
  </r>
  <r>
    <s v="FL250119"/>
    <s v="Gloria Chaney"/>
    <s v="Gloria Chaney"/>
    <s v="f"/>
    <s v="Female"/>
    <n v="33"/>
    <x v="4"/>
    <x v="4"/>
    <x v="9"/>
    <n v="13"/>
    <x v="0"/>
    <n v="20"/>
    <n v="20"/>
    <x v="6"/>
    <n v="3.2"/>
    <b v="0"/>
    <x v="0"/>
    <m/>
    <m/>
  </r>
  <r>
    <s v="FL250120"/>
    <s v="Jesse Campbell"/>
    <s v="Jesse Campbell"/>
    <s v="male"/>
    <s v="Male"/>
    <n v="29"/>
    <x v="12"/>
    <x v="10"/>
    <x v="5"/>
    <n v="4"/>
    <x v="2"/>
    <n v="30"/>
    <n v="30"/>
    <x v="3"/>
    <n v="0"/>
    <s v="Y"/>
    <x v="1"/>
    <n v="0.82"/>
    <n v="0.82"/>
  </r>
  <r>
    <s v="FL250121"/>
    <s v="Allison Tucker MD"/>
    <s v="Allison Tucker MD"/>
    <s v="FEMALE"/>
    <s v="Female"/>
    <n v="36"/>
    <x v="4"/>
    <x v="4"/>
    <x v="6"/>
    <n v="13"/>
    <x v="0"/>
    <n v="75"/>
    <n v="75"/>
    <x v="4"/>
    <m/>
    <n v="1"/>
    <x v="1"/>
    <m/>
    <m/>
  </r>
  <r>
    <s v="FL250122"/>
    <s v="Candice Petersen"/>
    <s v="Candice Petersen"/>
    <s v="FEMALE"/>
    <s v="Female"/>
    <n v="47"/>
    <x v="0"/>
    <x v="0"/>
    <x v="8"/>
    <n v="5"/>
    <x v="2"/>
    <n v="40"/>
    <s v="40"/>
    <x v="2"/>
    <n v="3.7"/>
    <b v="0"/>
    <x v="0"/>
    <n v="93"/>
    <n v="0.93"/>
  </r>
  <r>
    <s v="FL250123"/>
    <s v="Christopher Nichols"/>
    <s v="Christopher Nichols"/>
    <s v="male"/>
    <s v="Male"/>
    <n v="48"/>
    <x v="14"/>
    <x v="1"/>
    <x v="9"/>
    <n v="15"/>
    <x v="0"/>
    <s v="USD 50"/>
    <s v="50"/>
    <x v="1"/>
    <n v="1"/>
    <s v="Y"/>
    <x v="1"/>
    <n v="0.64"/>
    <n v="0.64"/>
  </r>
  <r>
    <s v="FL250124"/>
    <s v="Debra Garcia"/>
    <s v="Debra Garcia"/>
    <s v="f"/>
    <s v="Female"/>
    <n v="27"/>
    <x v="18"/>
    <x v="15"/>
    <x v="6"/>
    <n v="8"/>
    <x v="3"/>
    <n v="50"/>
    <s v="50"/>
    <x v="1"/>
    <n v="0"/>
    <m/>
    <x v="2"/>
    <m/>
    <m/>
  </r>
  <r>
    <s v="FL250125"/>
    <s v="Andrew Fuentes"/>
    <s v="Andrew Fuentes"/>
    <s v="male"/>
    <s v="Male"/>
    <n v="34"/>
    <x v="1"/>
    <x v="1"/>
    <x v="3"/>
    <n v="10"/>
    <x v="3"/>
    <m/>
    <m/>
    <x v="5"/>
    <n v="1.7"/>
    <s v="N"/>
    <x v="0"/>
    <n v="0.96"/>
    <n v="0.96"/>
  </r>
  <r>
    <s v="FL250126"/>
    <s v="Jason Carter"/>
    <s v="Jason Carter"/>
    <s v="male"/>
    <s v="Male"/>
    <n v="49"/>
    <x v="12"/>
    <x v="10"/>
    <x v="5"/>
    <n v="19"/>
    <x v="4"/>
    <m/>
    <m/>
    <x v="5"/>
    <n v="5"/>
    <s v="Y"/>
    <x v="1"/>
    <n v="0.83"/>
    <n v="0.83"/>
  </r>
  <r>
    <s v="FL250127"/>
    <s v="Austin Romero"/>
    <s v="Austin Romero"/>
    <s v="male"/>
    <s v="Male"/>
    <n v="30"/>
    <x v="11"/>
    <x v="9"/>
    <x v="1"/>
    <n v="10"/>
    <x v="3"/>
    <n v="100"/>
    <s v="100"/>
    <x v="0"/>
    <n v="1.7"/>
    <s v="yes"/>
    <x v="1"/>
    <n v="0.64"/>
    <n v="0.64"/>
  </r>
  <r>
    <s v="FL250128"/>
    <s v="Clayton Burns"/>
    <s v="Clayton Burns"/>
    <s v="male"/>
    <s v="Male"/>
    <n v="31"/>
    <x v="16"/>
    <x v="13"/>
    <x v="2"/>
    <n v="8"/>
    <x v="3"/>
    <n v="40"/>
    <n v="40"/>
    <x v="2"/>
    <n v="4.4000000000000004"/>
    <n v="0"/>
    <x v="0"/>
    <n v="0.7"/>
    <n v="0.7"/>
  </r>
  <r>
    <s v="FL250129"/>
    <s v="Jonathan Clark"/>
    <s v="Jonathan Clark"/>
    <s v="m"/>
    <s v="Male"/>
    <n v="58"/>
    <x v="18"/>
    <x v="15"/>
    <x v="9"/>
    <n v="9"/>
    <x v="3"/>
    <n v="20"/>
    <n v="20"/>
    <x v="6"/>
    <n v="0"/>
    <s v="N"/>
    <x v="0"/>
    <n v="0.65"/>
    <n v="0.65"/>
  </r>
  <r>
    <s v="FL250130"/>
    <s v="Alexander Griffin"/>
    <s v="Alexander Griffin"/>
    <s v="male"/>
    <s v="Male"/>
    <n v="47"/>
    <x v="15"/>
    <x v="12"/>
    <x v="9"/>
    <n v="13"/>
    <x v="0"/>
    <n v="40"/>
    <n v="40"/>
    <x v="2"/>
    <n v="3.4"/>
    <m/>
    <x v="2"/>
    <n v="0.67"/>
    <n v="0.67"/>
  </r>
  <r>
    <s v="FL250131"/>
    <s v="Shelly Whitehead"/>
    <s v="Shelly Whitehead"/>
    <s v="f"/>
    <s v="Female"/>
    <n v="45"/>
    <x v="7"/>
    <x v="1"/>
    <x v="7"/>
    <n v="14"/>
    <x v="0"/>
    <s v="USD 100"/>
    <s v="100"/>
    <x v="0"/>
    <n v="1.1000000000000001"/>
    <s v="no"/>
    <x v="0"/>
    <n v="93"/>
    <n v="0.93"/>
  </r>
  <r>
    <s v="FL250132"/>
    <s v="Kaitlyn Davis"/>
    <s v="Kaitlyn Davis"/>
    <s v="FEMALE"/>
    <s v="Female"/>
    <n v="57"/>
    <x v="15"/>
    <x v="12"/>
    <x v="9"/>
    <n v="0"/>
    <x v="2"/>
    <n v="50"/>
    <n v="50"/>
    <x v="1"/>
    <n v="1.6"/>
    <s v="N"/>
    <x v="0"/>
    <n v="0.6"/>
    <n v="0.6"/>
  </r>
  <r>
    <s v="FL250133"/>
    <s v="Christopher Jones"/>
    <s v="Christopher Jones"/>
    <s v="male"/>
    <s v="Male"/>
    <n v="50"/>
    <x v="10"/>
    <x v="8"/>
    <x v="3"/>
    <n v="22"/>
    <x v="1"/>
    <n v="100"/>
    <n v="100"/>
    <x v="0"/>
    <n v="4.0999999999999996"/>
    <s v="N"/>
    <x v="0"/>
    <n v="0.62"/>
    <n v="0.62"/>
  </r>
  <r>
    <s v="FL250134"/>
    <s v="Cindy Jacobs"/>
    <s v="Cindy Jacobs"/>
    <s v="FEMALE"/>
    <s v="Female"/>
    <m/>
    <x v="11"/>
    <x v="9"/>
    <x v="9"/>
    <n v="4"/>
    <x v="2"/>
    <m/>
    <m/>
    <x v="5"/>
    <n v="2.5"/>
    <m/>
    <x v="2"/>
    <n v="0.7"/>
    <n v="0.7"/>
  </r>
  <r>
    <s v="FL250135"/>
    <s v="Penny Day"/>
    <s v="Penny Day"/>
    <s v="FEMALE"/>
    <s v="Female"/>
    <n v="45"/>
    <x v="4"/>
    <x v="4"/>
    <x v="0"/>
    <n v="22"/>
    <x v="1"/>
    <n v="100"/>
    <s v="100"/>
    <x v="0"/>
    <n v="4"/>
    <s v="Y"/>
    <x v="1"/>
    <n v="0.75"/>
    <n v="0.75"/>
  </r>
  <r>
    <s v="FL250136"/>
    <s v="Thomas Ingram"/>
    <s v="Thomas Ingram"/>
    <s v="male"/>
    <s v="Male"/>
    <n v="60"/>
    <x v="17"/>
    <x v="14"/>
    <x v="7"/>
    <n v="39"/>
    <x v="1"/>
    <n v="75"/>
    <n v="75"/>
    <x v="4"/>
    <n v="1.4"/>
    <s v="no"/>
    <x v="0"/>
    <n v="0.7"/>
    <n v="0.7"/>
  </r>
  <r>
    <s v="FL250137"/>
    <s v="Donna Hansen"/>
    <s v="Donna Hansen"/>
    <s v="FEMALE"/>
    <s v="Female"/>
    <n v="43"/>
    <x v="7"/>
    <x v="1"/>
    <x v="7"/>
    <n v="5"/>
    <x v="2"/>
    <s v="USD 50"/>
    <s v="50"/>
    <x v="1"/>
    <m/>
    <n v="1"/>
    <x v="1"/>
    <n v="0.84"/>
    <n v="0.84"/>
  </r>
  <r>
    <s v="FL250138"/>
    <s v="Donna Bailey"/>
    <s v="Donna Bailey"/>
    <s v="f"/>
    <s v="Female"/>
    <n v="39"/>
    <x v="15"/>
    <x v="12"/>
    <x v="7"/>
    <n v="5"/>
    <x v="2"/>
    <s v="USD 40"/>
    <s v="40"/>
    <x v="2"/>
    <n v="1.2"/>
    <n v="0"/>
    <x v="0"/>
    <n v="83"/>
    <n v="0.83"/>
  </r>
  <r>
    <s v="FL250139"/>
    <s v="Joshua Armstrong"/>
    <s v="Joshua Armstrong"/>
    <s v="male"/>
    <s v="Male"/>
    <n v="26"/>
    <x v="19"/>
    <x v="6"/>
    <x v="6"/>
    <n v="5"/>
    <x v="2"/>
    <n v="50"/>
    <n v="50"/>
    <x v="1"/>
    <n v="0"/>
    <s v="N"/>
    <x v="0"/>
    <m/>
    <m/>
  </r>
  <r>
    <s v="FL250140"/>
    <s v="Jonathan Garza"/>
    <s v="Jonathan Garza"/>
    <s v="m"/>
    <s v="Male"/>
    <n v="31"/>
    <x v="2"/>
    <x v="2"/>
    <x v="7"/>
    <n v="11"/>
    <x v="0"/>
    <n v="50"/>
    <n v="50"/>
    <x v="1"/>
    <n v="3.1"/>
    <b v="0"/>
    <x v="0"/>
    <n v="0.88"/>
    <n v="0.88"/>
  </r>
  <r>
    <s v="FL250141"/>
    <s v="Charles Jones"/>
    <s v="Charles Jones"/>
    <s v="m"/>
    <s v="Male"/>
    <n v="52"/>
    <x v="15"/>
    <x v="12"/>
    <x v="6"/>
    <n v="15"/>
    <x v="0"/>
    <n v="50"/>
    <n v="50"/>
    <x v="1"/>
    <n v="0"/>
    <s v="yes"/>
    <x v="1"/>
    <n v="0.81"/>
    <n v="0.81"/>
  </r>
  <r>
    <s v="FL250142"/>
    <s v="Lindsey Miles"/>
    <s v="Lindsey Miles"/>
    <s v="FEMALE"/>
    <s v="Female"/>
    <n v="34"/>
    <x v="10"/>
    <x v="8"/>
    <x v="5"/>
    <n v="5"/>
    <x v="2"/>
    <s v="USD 20"/>
    <s v="20"/>
    <x v="6"/>
    <n v="2.2000000000000002"/>
    <s v="Y"/>
    <x v="1"/>
    <n v="0.8"/>
    <n v="0.8"/>
  </r>
  <r>
    <s v="FL250143"/>
    <s v="Eduardo Reed"/>
    <s v="Eduardo Reed"/>
    <s v="male"/>
    <s v="Male"/>
    <n v="45"/>
    <x v="7"/>
    <x v="1"/>
    <x v="3"/>
    <n v="7"/>
    <x v="3"/>
    <n v="75"/>
    <n v="75"/>
    <x v="4"/>
    <n v="3"/>
    <n v="1"/>
    <x v="1"/>
    <n v="0.67"/>
    <n v="0.67"/>
  </r>
  <r>
    <s v="FL250144"/>
    <s v="Lee Fowler"/>
    <s v="Lee Fowler"/>
    <s v="m"/>
    <s v="Male"/>
    <n v="46"/>
    <x v="7"/>
    <x v="1"/>
    <x v="7"/>
    <n v="9"/>
    <x v="3"/>
    <n v="20"/>
    <s v="20"/>
    <x v="6"/>
    <n v="0"/>
    <s v="N"/>
    <x v="0"/>
    <n v="0.82"/>
    <n v="0.82"/>
  </r>
  <r>
    <s v="FL250145"/>
    <s v="Steven Jones Jr."/>
    <s v="Steven Jones Jr."/>
    <s v="m"/>
    <s v="Male"/>
    <n v="56"/>
    <x v="15"/>
    <x v="12"/>
    <x v="6"/>
    <n v="21"/>
    <x v="1"/>
    <s v="USD 100"/>
    <s v="100"/>
    <x v="0"/>
    <n v="0"/>
    <b v="1"/>
    <x v="1"/>
    <n v="78"/>
    <n v="0.78"/>
  </r>
  <r>
    <s v="FL250146"/>
    <s v="Ashley Chen"/>
    <s v="Ashley Chen"/>
    <s v="FEMALE"/>
    <s v="Female"/>
    <n v="59"/>
    <x v="2"/>
    <x v="2"/>
    <x v="4"/>
    <n v="7"/>
    <x v="3"/>
    <n v="40"/>
    <s v="40"/>
    <x v="2"/>
    <n v="1.4"/>
    <b v="0"/>
    <x v="0"/>
    <n v="0.81"/>
    <n v="0.81"/>
  </r>
  <r>
    <s v="FL250147"/>
    <s v="Erica Davis"/>
    <s v="Erica Davis"/>
    <s v="FEMALE"/>
    <s v="Female"/>
    <n v="54"/>
    <x v="16"/>
    <x v="13"/>
    <x v="0"/>
    <n v="4"/>
    <x v="2"/>
    <m/>
    <m/>
    <x v="5"/>
    <n v="1.4"/>
    <b v="1"/>
    <x v="1"/>
    <n v="0.74"/>
    <n v="0.74"/>
  </r>
  <r>
    <s v="FL250148"/>
    <s v="Wayne Gonzales"/>
    <s v="Wayne Gonzales"/>
    <s v="m"/>
    <s v="Male"/>
    <n v="36"/>
    <x v="2"/>
    <x v="2"/>
    <x v="6"/>
    <n v="7"/>
    <x v="3"/>
    <n v="30"/>
    <n v="30"/>
    <x v="3"/>
    <n v="0"/>
    <s v="N"/>
    <x v="0"/>
    <n v="0.88"/>
    <n v="0.88"/>
  </r>
  <r>
    <s v="FL250149"/>
    <s v="Gary Ballard"/>
    <s v="Gary Ballard"/>
    <s v="male"/>
    <s v="Male"/>
    <n v="25"/>
    <x v="19"/>
    <x v="6"/>
    <x v="5"/>
    <n v="0"/>
    <x v="2"/>
    <n v="40"/>
    <n v="40"/>
    <x v="2"/>
    <n v="0"/>
    <n v="0"/>
    <x v="0"/>
    <n v="0.9"/>
    <n v="0.9"/>
  </r>
  <r>
    <s v="FL250150"/>
    <s v="Maria Mcguire"/>
    <s v="Maria Mcguire"/>
    <s v="FEMALE"/>
    <s v="Female"/>
    <n v="37"/>
    <x v="13"/>
    <x v="11"/>
    <x v="5"/>
    <n v="15"/>
    <x v="0"/>
    <n v="40"/>
    <s v="40"/>
    <x v="2"/>
    <n v="2.9"/>
    <b v="0"/>
    <x v="0"/>
    <m/>
    <m/>
  </r>
  <r>
    <s v="FL250151"/>
    <s v="Matthew Richards"/>
    <s v="Matthew Richards"/>
    <s v="m"/>
    <s v="Male"/>
    <m/>
    <x v="6"/>
    <x v="5"/>
    <x v="5"/>
    <n v="10"/>
    <x v="3"/>
    <s v="USD 40"/>
    <s v="40"/>
    <x v="2"/>
    <n v="0"/>
    <m/>
    <x v="2"/>
    <m/>
    <m/>
  </r>
  <r>
    <s v="FL250152"/>
    <s v="Patrick Malone"/>
    <s v="Patrick Malone"/>
    <s v="m"/>
    <s v="Male"/>
    <n v="29"/>
    <x v="20"/>
    <x v="6"/>
    <x v="5"/>
    <n v="11"/>
    <x v="0"/>
    <n v="20"/>
    <n v="20"/>
    <x v="6"/>
    <n v="2.7"/>
    <s v="no"/>
    <x v="0"/>
    <n v="0.93"/>
    <n v="0.93"/>
  </r>
  <r>
    <s v="FL250153"/>
    <s v="Cindy Martin"/>
    <s v="Cindy Martin"/>
    <s v="FEMALE"/>
    <s v="Female"/>
    <n v="55"/>
    <x v="8"/>
    <x v="6"/>
    <x v="1"/>
    <n v="12"/>
    <x v="0"/>
    <n v="100"/>
    <n v="100"/>
    <x v="0"/>
    <n v="1.8"/>
    <n v="1"/>
    <x v="1"/>
    <m/>
    <m/>
  </r>
  <r>
    <s v="FL250154"/>
    <s v="Anne Edwards"/>
    <s v="Anne Edwards"/>
    <s v="FEMALE"/>
    <s v="Female"/>
    <n v="38"/>
    <x v="9"/>
    <x v="7"/>
    <x v="8"/>
    <n v="20"/>
    <x v="4"/>
    <n v="75"/>
    <s v="75"/>
    <x v="4"/>
    <n v="1.1000000000000001"/>
    <s v="no"/>
    <x v="0"/>
    <n v="0.71"/>
    <n v="0.71"/>
  </r>
  <r>
    <s v="FL250155"/>
    <s v="Mitchell Martin"/>
    <s v="Mitchell Martin"/>
    <s v="male"/>
    <s v="Male"/>
    <n v="47"/>
    <x v="12"/>
    <x v="10"/>
    <x v="8"/>
    <n v="29"/>
    <x v="1"/>
    <n v="40"/>
    <s v="40"/>
    <x v="2"/>
    <n v="4.3"/>
    <n v="1"/>
    <x v="1"/>
    <n v="0.95"/>
    <n v="0.95"/>
  </r>
  <r>
    <s v="FL250156"/>
    <s v="Mitchell Patrick"/>
    <s v="Mitchell Patrick"/>
    <s v="m"/>
    <s v="Male"/>
    <n v="60"/>
    <x v="11"/>
    <x v="9"/>
    <x v="3"/>
    <n v="15"/>
    <x v="0"/>
    <n v="100"/>
    <n v="100"/>
    <x v="0"/>
    <n v="1.5"/>
    <n v="0"/>
    <x v="0"/>
    <n v="80"/>
    <n v="0.8"/>
  </r>
  <r>
    <s v="FL250157"/>
    <s v="Rebecca Lyons"/>
    <s v="Rebecca Lyons"/>
    <s v="FEMALE"/>
    <s v="Female"/>
    <n v="43"/>
    <x v="0"/>
    <x v="0"/>
    <x v="5"/>
    <n v="9"/>
    <x v="3"/>
    <n v="20"/>
    <s v="20"/>
    <x v="6"/>
    <n v="2.2000000000000002"/>
    <s v="N"/>
    <x v="0"/>
    <m/>
    <m/>
  </r>
  <r>
    <s v="FL250158"/>
    <s v="Christian Lopez"/>
    <s v="Christian Lopez"/>
    <s v="male"/>
    <s v="Male"/>
    <n v="56"/>
    <x v="17"/>
    <x v="14"/>
    <x v="5"/>
    <m/>
    <x v="2"/>
    <n v="100"/>
    <n v="100"/>
    <x v="0"/>
    <n v="3.2"/>
    <n v="0"/>
    <x v="0"/>
    <n v="0.62"/>
    <n v="0.62"/>
  </r>
  <r>
    <s v="FL250159"/>
    <s v="Nathan Blair"/>
    <s v="Nathan Blair"/>
    <s v="male"/>
    <s v="Male"/>
    <n v="42"/>
    <x v="13"/>
    <x v="11"/>
    <x v="8"/>
    <n v="2"/>
    <x v="2"/>
    <n v="50"/>
    <s v="50"/>
    <x v="1"/>
    <n v="1.9"/>
    <b v="0"/>
    <x v="0"/>
    <n v="0.95"/>
    <n v="0.95"/>
  </r>
  <r>
    <s v="FL250160"/>
    <s v="Patricia Lopez"/>
    <s v="Patricia Lopez"/>
    <s v="FEMALE"/>
    <s v="Female"/>
    <n v="20"/>
    <x v="20"/>
    <x v="6"/>
    <x v="2"/>
    <n v="0"/>
    <x v="2"/>
    <n v="40"/>
    <n v="40"/>
    <x v="2"/>
    <n v="2.5"/>
    <n v="0"/>
    <x v="0"/>
    <n v="0.79"/>
    <n v="0.79"/>
  </r>
  <r>
    <s v="FL250161"/>
    <s v="Michelle Wu"/>
    <s v="Michelle Wu"/>
    <s v="FEMALE"/>
    <s v="Female"/>
    <n v="47"/>
    <x v="4"/>
    <x v="4"/>
    <x v="6"/>
    <n v="12"/>
    <x v="0"/>
    <n v="40"/>
    <n v="40"/>
    <x v="2"/>
    <n v="4.5"/>
    <s v="no"/>
    <x v="0"/>
    <n v="0.62"/>
    <n v="0.62"/>
  </r>
  <r>
    <s v="FL250162"/>
    <s v="Donald Mitchell"/>
    <s v="Donald Mitchell"/>
    <s v="m"/>
    <s v="Male"/>
    <m/>
    <x v="8"/>
    <x v="6"/>
    <x v="5"/>
    <n v="12"/>
    <x v="0"/>
    <n v="30"/>
    <s v="30"/>
    <x v="3"/>
    <n v="4.0999999999999996"/>
    <s v="no"/>
    <x v="0"/>
    <n v="0.68"/>
    <n v="0.68"/>
  </r>
  <r>
    <s v="FL250163"/>
    <s v="Sean Gordon"/>
    <s v="Sean Gordon"/>
    <s v="m"/>
    <s v="Male"/>
    <n v="56"/>
    <x v="4"/>
    <x v="4"/>
    <x v="8"/>
    <n v="15"/>
    <x v="0"/>
    <s v="USD 75"/>
    <s v="75"/>
    <x v="4"/>
    <n v="0"/>
    <s v="no"/>
    <x v="0"/>
    <m/>
    <m/>
  </r>
  <r>
    <s v="FL250164"/>
    <s v="Gregory Clarke"/>
    <s v="Gregory Clarke"/>
    <s v="male"/>
    <s v="Male"/>
    <n v="59"/>
    <x v="7"/>
    <x v="1"/>
    <x v="8"/>
    <n v="29"/>
    <x v="1"/>
    <s v="USD 75"/>
    <s v="75"/>
    <x v="4"/>
    <m/>
    <n v="0"/>
    <x v="0"/>
    <n v="0.8"/>
    <n v="0.8"/>
  </r>
  <r>
    <s v="FL250165"/>
    <s v="Steven Whitney"/>
    <s v="Steven Whitney"/>
    <s v="male"/>
    <s v="Male"/>
    <n v="56"/>
    <x v="9"/>
    <x v="7"/>
    <x v="7"/>
    <n v="15"/>
    <x v="0"/>
    <n v="40"/>
    <n v="40"/>
    <x v="2"/>
    <n v="3.7"/>
    <m/>
    <x v="2"/>
    <n v="0.92"/>
    <n v="0.92"/>
  </r>
  <r>
    <s v="FL250166"/>
    <s v="Robin Acosta"/>
    <s v="Robin Acosta"/>
    <s v="FEMALE"/>
    <s v="Female"/>
    <n v="31"/>
    <x v="17"/>
    <x v="14"/>
    <x v="3"/>
    <m/>
    <x v="2"/>
    <s v="USD 75"/>
    <s v="75"/>
    <x v="4"/>
    <n v="1.3"/>
    <n v="1"/>
    <x v="1"/>
    <n v="0.65"/>
    <n v="0.65"/>
  </r>
  <r>
    <s v="FL250167"/>
    <s v="John Smith"/>
    <s v="John Smith"/>
    <s v="m"/>
    <s v="Male"/>
    <n v="60"/>
    <x v="12"/>
    <x v="10"/>
    <x v="1"/>
    <n v="33"/>
    <x v="1"/>
    <n v="40"/>
    <n v="40"/>
    <x v="2"/>
    <n v="3.6"/>
    <n v="1"/>
    <x v="1"/>
    <n v="0.87"/>
    <n v="0.87"/>
  </r>
  <r>
    <s v="FL250168"/>
    <s v="Susan Baker"/>
    <s v="Susan Baker"/>
    <s v="FEMALE"/>
    <s v="Female"/>
    <n v="31"/>
    <x v="14"/>
    <x v="1"/>
    <x v="3"/>
    <n v="10"/>
    <x v="3"/>
    <n v="75"/>
    <n v="75"/>
    <x v="4"/>
    <n v="0"/>
    <s v="no"/>
    <x v="0"/>
    <n v="0.7"/>
    <n v="0.7"/>
  </r>
  <r>
    <s v="FL250169"/>
    <s v="Anthony Larsen"/>
    <s v="Anthony Larsen"/>
    <s v="male"/>
    <s v="Male"/>
    <n v="60"/>
    <x v="8"/>
    <x v="6"/>
    <x v="7"/>
    <n v="20"/>
    <x v="4"/>
    <n v="40"/>
    <n v="40"/>
    <x v="2"/>
    <n v="1.4"/>
    <s v="no"/>
    <x v="0"/>
    <n v="87"/>
    <n v="0.87"/>
  </r>
  <r>
    <s v="FL250170"/>
    <s v="Nicholas Carpenter"/>
    <s v="Nicholas Carpenter"/>
    <s v="male"/>
    <s v="Male"/>
    <n v="46"/>
    <x v="15"/>
    <x v="12"/>
    <x v="8"/>
    <n v="23"/>
    <x v="1"/>
    <n v="20"/>
    <n v="20"/>
    <x v="6"/>
    <n v="2.9"/>
    <s v="N"/>
    <x v="0"/>
    <n v="0.72"/>
    <n v="0.72"/>
  </r>
  <r>
    <s v="FL250171"/>
    <s v="Debra Salazar"/>
    <s v="Debra Salazar"/>
    <s v="f"/>
    <s v="Female"/>
    <m/>
    <x v="3"/>
    <x v="3"/>
    <x v="0"/>
    <m/>
    <x v="2"/>
    <n v="40"/>
    <n v="40"/>
    <x v="2"/>
    <n v="2.8"/>
    <s v="N"/>
    <x v="0"/>
    <n v="0.8"/>
    <n v="0.8"/>
  </r>
  <r>
    <s v="FL250172"/>
    <s v="William Smith"/>
    <s v="William Smith"/>
    <s v="male"/>
    <s v="Male"/>
    <n v="34"/>
    <x v="9"/>
    <x v="7"/>
    <x v="6"/>
    <n v="0"/>
    <x v="2"/>
    <n v="20"/>
    <n v="20"/>
    <x v="6"/>
    <n v="1.7"/>
    <n v="0"/>
    <x v="0"/>
    <n v="0.66"/>
    <n v="0.66"/>
  </r>
  <r>
    <s v="FL250173"/>
    <s v="Caroline Gross"/>
    <s v="Caroline Gross"/>
    <s v="f"/>
    <s v="Female"/>
    <n v="42"/>
    <x v="3"/>
    <x v="3"/>
    <x v="2"/>
    <n v="7"/>
    <x v="3"/>
    <s v="USD 40"/>
    <s v="40"/>
    <x v="2"/>
    <n v="0"/>
    <n v="1"/>
    <x v="1"/>
    <m/>
    <m/>
  </r>
  <r>
    <s v="FL250174"/>
    <s v="Jeremy Sawyer"/>
    <s v="Jeremy Sawyer"/>
    <s v="m"/>
    <s v="Male"/>
    <n v="31"/>
    <x v="7"/>
    <x v="1"/>
    <x v="5"/>
    <n v="4"/>
    <x v="2"/>
    <s v="USD 75"/>
    <s v="75"/>
    <x v="4"/>
    <n v="1.1000000000000001"/>
    <b v="1"/>
    <x v="1"/>
    <n v="0.64"/>
    <n v="0.64"/>
  </r>
  <r>
    <s v="FL250175"/>
    <s v="Eduardo Burns"/>
    <s v="Eduardo Burns"/>
    <s v="male"/>
    <s v="Male"/>
    <n v="29"/>
    <x v="11"/>
    <x v="9"/>
    <x v="6"/>
    <n v="9"/>
    <x v="3"/>
    <n v="20"/>
    <n v="20"/>
    <x v="6"/>
    <m/>
    <m/>
    <x v="2"/>
    <n v="0.68"/>
    <n v="0.68"/>
  </r>
  <r>
    <s v="FL250176"/>
    <s v="Amanda Jones"/>
    <s v="Amanda Jones"/>
    <s v="FEMALE"/>
    <s v="Female"/>
    <n v="57"/>
    <x v="1"/>
    <x v="1"/>
    <x v="2"/>
    <n v="17"/>
    <x v="4"/>
    <n v="20"/>
    <n v="20"/>
    <x v="6"/>
    <n v="3.6"/>
    <n v="0"/>
    <x v="0"/>
    <n v="0.63"/>
    <n v="0.63"/>
  </r>
  <r>
    <s v="FL250177"/>
    <s v="Frederick Ware"/>
    <s v="Frederick Ware"/>
    <s v="male"/>
    <s v="Male"/>
    <n v="47"/>
    <x v="10"/>
    <x v="8"/>
    <x v="8"/>
    <n v="8"/>
    <x v="3"/>
    <n v="20"/>
    <n v="20"/>
    <x v="6"/>
    <n v="4.5"/>
    <n v="1"/>
    <x v="1"/>
    <n v="0.72"/>
    <n v="0.72"/>
  </r>
  <r>
    <s v="FL250178"/>
    <s v="Michael Black"/>
    <s v="Michael Black"/>
    <s v="male"/>
    <s v="Male"/>
    <n v="47"/>
    <x v="17"/>
    <x v="14"/>
    <x v="4"/>
    <n v="14"/>
    <x v="0"/>
    <n v="30"/>
    <s v="30"/>
    <x v="3"/>
    <n v="0"/>
    <b v="1"/>
    <x v="1"/>
    <n v="0.86"/>
    <n v="0.86"/>
  </r>
  <r>
    <s v="FL250179"/>
    <s v="Patricia Sanders"/>
    <s v="Patricia Sanders"/>
    <s v="FEMALE"/>
    <s v="Female"/>
    <n v="45"/>
    <x v="15"/>
    <x v="12"/>
    <x v="2"/>
    <n v="21"/>
    <x v="1"/>
    <s v="USD 30"/>
    <s v="30"/>
    <x v="3"/>
    <n v="1.5"/>
    <n v="1"/>
    <x v="1"/>
    <n v="0.73"/>
    <n v="0.73"/>
  </r>
  <r>
    <s v="FL250180"/>
    <s v="Marc Joseph"/>
    <s v="Marc Joseph"/>
    <s v="m"/>
    <s v="Male"/>
    <n v="24"/>
    <x v="6"/>
    <x v="5"/>
    <x v="9"/>
    <n v="1"/>
    <x v="2"/>
    <n v="30"/>
    <s v="30"/>
    <x v="3"/>
    <n v="3.7"/>
    <s v="no"/>
    <x v="0"/>
    <n v="0.95"/>
    <n v="0.95"/>
  </r>
  <r>
    <s v="FL250181"/>
    <s v="Vanessa White"/>
    <s v="Vanessa White"/>
    <s v="FEMALE"/>
    <s v="Female"/>
    <n v="31"/>
    <x v="8"/>
    <x v="6"/>
    <x v="1"/>
    <n v="12"/>
    <x v="0"/>
    <n v="20"/>
    <n v="20"/>
    <x v="6"/>
    <n v="2.2999999999999998"/>
    <b v="0"/>
    <x v="0"/>
    <n v="0.9"/>
    <n v="0.9"/>
  </r>
  <r>
    <s v="FL250182"/>
    <s v="Jennifer Garcia"/>
    <s v="Jennifer Garcia"/>
    <s v="f"/>
    <s v="Female"/>
    <n v="20"/>
    <x v="19"/>
    <x v="6"/>
    <x v="2"/>
    <n v="2"/>
    <x v="2"/>
    <n v="20"/>
    <s v="20"/>
    <x v="6"/>
    <n v="2.8"/>
    <n v="0"/>
    <x v="0"/>
    <n v="0.78"/>
    <n v="0.78"/>
  </r>
  <r>
    <s v="FL250183"/>
    <s v="Michael Zavala"/>
    <s v="Michael Zavala"/>
    <s v="male"/>
    <s v="Male"/>
    <n v="38"/>
    <x v="9"/>
    <x v="7"/>
    <x v="3"/>
    <n v="3"/>
    <x v="2"/>
    <n v="30"/>
    <n v="30"/>
    <x v="3"/>
    <n v="3.5"/>
    <s v="no"/>
    <x v="0"/>
    <n v="0.97"/>
    <n v="0.97"/>
  </r>
  <r>
    <s v="FL250184"/>
    <s v="Kimberly Williams"/>
    <s v="Kimberly Williams"/>
    <s v="FEMALE"/>
    <s v="Female"/>
    <n v="33"/>
    <x v="2"/>
    <x v="2"/>
    <x v="6"/>
    <n v="11"/>
    <x v="0"/>
    <m/>
    <m/>
    <x v="5"/>
    <n v="0"/>
    <s v="yes"/>
    <x v="1"/>
    <n v="0.65"/>
    <n v="0.65"/>
  </r>
  <r>
    <s v="FL250185"/>
    <s v="Elizabeth Jenkins"/>
    <s v="Elizabeth Jenkins"/>
    <s v="f"/>
    <s v="Female"/>
    <n v="31"/>
    <x v="1"/>
    <x v="1"/>
    <x v="3"/>
    <n v="4"/>
    <x v="2"/>
    <n v="40"/>
    <n v="40"/>
    <x v="2"/>
    <n v="3.2"/>
    <n v="1"/>
    <x v="1"/>
    <n v="0.78"/>
    <n v="0.78"/>
  </r>
  <r>
    <s v="FL250186"/>
    <s v="Brandon Ford"/>
    <s v="Brandon Ford"/>
    <s v="m"/>
    <s v="Male"/>
    <n v="41"/>
    <x v="20"/>
    <x v="6"/>
    <x v="9"/>
    <n v="21"/>
    <x v="1"/>
    <n v="50"/>
    <n v="50"/>
    <x v="1"/>
    <n v="3.3"/>
    <s v="Y"/>
    <x v="1"/>
    <n v="0.65"/>
    <n v="0.65"/>
  </r>
  <r>
    <s v="FL250187"/>
    <s v="Justin House"/>
    <s v="Justin House"/>
    <s v="male"/>
    <s v="Male"/>
    <n v="54"/>
    <x v="6"/>
    <x v="5"/>
    <x v="3"/>
    <n v="0"/>
    <x v="2"/>
    <n v="20"/>
    <s v="20"/>
    <x v="6"/>
    <n v="4.9000000000000004"/>
    <m/>
    <x v="2"/>
    <m/>
    <m/>
  </r>
  <r>
    <s v="FL250188"/>
    <s v="Henry Mullen"/>
    <s v="Henry Mullen"/>
    <s v="male"/>
    <s v="Male"/>
    <n v="50"/>
    <x v="19"/>
    <x v="6"/>
    <x v="5"/>
    <n v="6"/>
    <x v="3"/>
    <n v="30"/>
    <n v="30"/>
    <x v="3"/>
    <n v="2.2000000000000002"/>
    <n v="1"/>
    <x v="1"/>
    <n v="0.95"/>
    <n v="0.95"/>
  </r>
  <r>
    <s v="FL250189"/>
    <s v="Jesse Cochran"/>
    <s v="Jesse Cochran"/>
    <s v="male"/>
    <s v="Male"/>
    <n v="48"/>
    <x v="11"/>
    <x v="9"/>
    <x v="9"/>
    <n v="18"/>
    <x v="4"/>
    <s v="USD 40"/>
    <s v="40"/>
    <x v="2"/>
    <m/>
    <n v="1"/>
    <x v="1"/>
    <n v="0.88"/>
    <n v="0.88"/>
  </r>
  <r>
    <s v="FL250190"/>
    <s v="Melissa Rich"/>
    <s v="Melissa Rich"/>
    <s v="f"/>
    <s v="Female"/>
    <n v="49"/>
    <x v="19"/>
    <x v="6"/>
    <x v="2"/>
    <m/>
    <x v="2"/>
    <m/>
    <m/>
    <x v="5"/>
    <n v="1.8"/>
    <n v="0"/>
    <x v="0"/>
    <m/>
    <m/>
  </r>
  <r>
    <s v="FL250191"/>
    <s v="Patrick Dunlap"/>
    <s v="Patrick Dunlap"/>
    <s v="male"/>
    <s v="Male"/>
    <n v="21"/>
    <x v="12"/>
    <x v="10"/>
    <x v="2"/>
    <n v="1"/>
    <x v="2"/>
    <n v="75"/>
    <n v="75"/>
    <x v="4"/>
    <n v="4.5999999999999996"/>
    <n v="0"/>
    <x v="0"/>
    <n v="0.92"/>
    <n v="0.92"/>
  </r>
  <r>
    <s v="FL250192"/>
    <s v="Troy Carson"/>
    <s v="Troy Carson"/>
    <s v="m"/>
    <s v="Male"/>
    <n v="58"/>
    <x v="1"/>
    <x v="1"/>
    <x v="2"/>
    <n v="20"/>
    <x v="4"/>
    <n v="75"/>
    <n v="75"/>
    <x v="4"/>
    <n v="2.8"/>
    <s v="no"/>
    <x v="0"/>
    <n v="0.75"/>
    <n v="0.75"/>
  </r>
  <r>
    <s v="FL250193"/>
    <s v="Matthew Smith"/>
    <s v="Matthew Smith"/>
    <s v="male"/>
    <s v="Male"/>
    <n v="41"/>
    <x v="0"/>
    <x v="0"/>
    <x v="8"/>
    <m/>
    <x v="2"/>
    <n v="30"/>
    <s v="30"/>
    <x v="3"/>
    <n v="1.4"/>
    <b v="0"/>
    <x v="0"/>
    <n v="0.74"/>
    <n v="0.74"/>
  </r>
  <r>
    <s v="FL250194"/>
    <s v="Jennifer Cherry"/>
    <s v="Jennifer Cherry"/>
    <s v="f"/>
    <s v="Female"/>
    <n v="58"/>
    <x v="13"/>
    <x v="11"/>
    <x v="0"/>
    <n v="25"/>
    <x v="1"/>
    <n v="30"/>
    <s v="30"/>
    <x v="3"/>
    <n v="4.2"/>
    <s v="Y"/>
    <x v="1"/>
    <n v="0.71"/>
    <n v="0.71"/>
  </r>
  <r>
    <s v="FL250195"/>
    <s v="Brandi Tucker"/>
    <s v="Brandi Tucker"/>
    <s v="FEMALE"/>
    <s v="Female"/>
    <n v="50"/>
    <x v="17"/>
    <x v="14"/>
    <x v="2"/>
    <n v="20"/>
    <x v="4"/>
    <s v="USD 40"/>
    <s v="40"/>
    <x v="2"/>
    <n v="3.6"/>
    <n v="1"/>
    <x v="1"/>
    <n v="0.89"/>
    <n v="0.89"/>
  </r>
  <r>
    <s v="FL250196"/>
    <s v="Zachary Burke"/>
    <s v="Zachary Burke"/>
    <s v="m"/>
    <s v="Male"/>
    <n v="52"/>
    <x v="4"/>
    <x v="4"/>
    <x v="3"/>
    <n v="33"/>
    <x v="1"/>
    <n v="100"/>
    <s v="100"/>
    <x v="0"/>
    <n v="1.6"/>
    <m/>
    <x v="2"/>
    <n v="0.66"/>
    <n v="0.66"/>
  </r>
  <r>
    <s v="FL250197"/>
    <s v="Thomas Jones"/>
    <s v="Thomas Jones"/>
    <s v="m"/>
    <s v="Male"/>
    <n v="34"/>
    <x v="3"/>
    <x v="3"/>
    <x v="5"/>
    <n v="6"/>
    <x v="3"/>
    <n v="100"/>
    <s v="100"/>
    <x v="0"/>
    <n v="2"/>
    <s v="no"/>
    <x v="0"/>
    <m/>
    <m/>
  </r>
  <r>
    <s v="FL250198"/>
    <s v="Brian Dunn"/>
    <s v="Brian Dunn"/>
    <s v="male"/>
    <s v="Male"/>
    <n v="32"/>
    <x v="15"/>
    <x v="12"/>
    <x v="9"/>
    <n v="11"/>
    <x v="0"/>
    <n v="40"/>
    <n v="40"/>
    <x v="2"/>
    <n v="4.3"/>
    <b v="1"/>
    <x v="1"/>
    <n v="0.86"/>
    <n v="0.86"/>
  </r>
  <r>
    <s v="FL250199"/>
    <s v="Shirley Strickland"/>
    <s v="Shirley Strickland"/>
    <s v="f"/>
    <s v="Female"/>
    <n v="50"/>
    <x v="10"/>
    <x v="8"/>
    <x v="2"/>
    <n v="28"/>
    <x v="1"/>
    <n v="100"/>
    <s v="100"/>
    <x v="0"/>
    <n v="4.9000000000000004"/>
    <s v="Y"/>
    <x v="1"/>
    <n v="0.86"/>
    <n v="0.86"/>
  </r>
  <r>
    <s v="FL250200"/>
    <s v="Nicole Meyers"/>
    <s v="Nicole Meyers"/>
    <s v="FEMALE"/>
    <s v="Female"/>
    <n v="39"/>
    <x v="8"/>
    <x v="6"/>
    <x v="5"/>
    <n v="11"/>
    <x v="0"/>
    <n v="100"/>
    <n v="100"/>
    <x v="0"/>
    <n v="3.5"/>
    <s v="Y"/>
    <x v="1"/>
    <n v="0.82"/>
    <n v="0.82"/>
  </r>
  <r>
    <s v="FL250201"/>
    <s v="Jill Stephens"/>
    <s v="Jill Stephens"/>
    <s v="f"/>
    <s v="Female"/>
    <n v="25"/>
    <x v="20"/>
    <x v="6"/>
    <x v="4"/>
    <n v="2"/>
    <x v="2"/>
    <n v="100"/>
    <n v="100"/>
    <x v="0"/>
    <n v="2.5"/>
    <s v="no"/>
    <x v="0"/>
    <n v="87"/>
    <n v="0.87"/>
  </r>
  <r>
    <s v="FL250202"/>
    <s v="Heidi Miranda"/>
    <s v="Heidi Miranda"/>
    <s v="FEMALE"/>
    <s v="Female"/>
    <n v="55"/>
    <x v="18"/>
    <x v="15"/>
    <x v="9"/>
    <n v="7"/>
    <x v="3"/>
    <n v="100"/>
    <n v="100"/>
    <x v="0"/>
    <n v="1.7"/>
    <n v="1"/>
    <x v="1"/>
    <n v="0.8"/>
    <n v="0.8"/>
  </r>
  <r>
    <s v="FL250203"/>
    <s v="Jesus Martinez"/>
    <s v="Jesus Martinez"/>
    <s v="m"/>
    <s v="Male"/>
    <n v="42"/>
    <x v="0"/>
    <x v="0"/>
    <x v="8"/>
    <n v="10"/>
    <x v="3"/>
    <s v="USD 100"/>
    <s v="100"/>
    <x v="0"/>
    <n v="4.5999999999999996"/>
    <s v="Y"/>
    <x v="1"/>
    <n v="0.71"/>
    <n v="0.71"/>
  </r>
  <r>
    <s v="FL250204"/>
    <s v="Adam Payne"/>
    <s v="Adam Payne"/>
    <s v="male"/>
    <s v="Male"/>
    <n v="43"/>
    <x v="13"/>
    <x v="11"/>
    <x v="1"/>
    <n v="6"/>
    <x v="3"/>
    <n v="50"/>
    <n v="50"/>
    <x v="1"/>
    <m/>
    <s v="N"/>
    <x v="0"/>
    <n v="0.77"/>
    <n v="0.77"/>
  </r>
  <r>
    <s v="FL250205"/>
    <s v="Walter Williams"/>
    <s v="Walter Williams"/>
    <s v="m"/>
    <s v="Male"/>
    <n v="54"/>
    <x v="0"/>
    <x v="0"/>
    <x v="8"/>
    <n v="29"/>
    <x v="1"/>
    <n v="30"/>
    <s v="30"/>
    <x v="3"/>
    <n v="1.7"/>
    <n v="0"/>
    <x v="0"/>
    <n v="68"/>
    <n v="0.68"/>
  </r>
  <r>
    <s v="FL250206"/>
    <s v="Shannon Farmer"/>
    <s v="Shannon Farmer"/>
    <s v="FEMALE"/>
    <s v="Female"/>
    <n v="21"/>
    <x v="16"/>
    <x v="13"/>
    <x v="2"/>
    <n v="0"/>
    <x v="2"/>
    <n v="20"/>
    <n v="20"/>
    <x v="6"/>
    <n v="1.8"/>
    <s v="N"/>
    <x v="0"/>
    <n v="0.91"/>
    <n v="0.91"/>
  </r>
  <r>
    <s v="FL250207"/>
    <s v="Peter Reyes"/>
    <s v="Peter Reyes"/>
    <s v="m"/>
    <s v="Male"/>
    <n v="46"/>
    <x v="14"/>
    <x v="1"/>
    <x v="6"/>
    <n v="5"/>
    <x v="2"/>
    <n v="20"/>
    <n v="20"/>
    <x v="6"/>
    <n v="2.2000000000000002"/>
    <b v="0"/>
    <x v="0"/>
    <n v="0.75"/>
    <n v="0.75"/>
  </r>
  <r>
    <s v="FL250208"/>
    <s v="Kristen Knight"/>
    <s v="Kristen Knight"/>
    <s v="f"/>
    <s v="Female"/>
    <n v="30"/>
    <x v="20"/>
    <x v="6"/>
    <x v="0"/>
    <n v="11"/>
    <x v="0"/>
    <n v="40"/>
    <n v="40"/>
    <x v="2"/>
    <n v="1"/>
    <s v="N"/>
    <x v="0"/>
    <n v="0.9"/>
    <n v="0.9"/>
  </r>
  <r>
    <s v="FL250209"/>
    <s v="William Moore Jr."/>
    <s v="William Moore Jr."/>
    <s v="male"/>
    <s v="Male"/>
    <n v="36"/>
    <x v="18"/>
    <x v="15"/>
    <x v="9"/>
    <n v="11"/>
    <x v="0"/>
    <n v="75"/>
    <s v="75"/>
    <x v="4"/>
    <n v="3.2"/>
    <n v="0"/>
    <x v="0"/>
    <n v="93"/>
    <n v="0.93"/>
  </r>
  <r>
    <s v="FL250210"/>
    <s v="Jennifer Rowe"/>
    <s v="Jennifer Rowe"/>
    <s v="FEMALE"/>
    <s v="Female"/>
    <n v="47"/>
    <x v="2"/>
    <x v="2"/>
    <x v="5"/>
    <n v="15"/>
    <x v="0"/>
    <n v="40"/>
    <n v="40"/>
    <x v="2"/>
    <n v="2.1"/>
    <s v="yes"/>
    <x v="1"/>
    <n v="0.94"/>
    <n v="0.94"/>
  </r>
  <r>
    <s v="FL250211"/>
    <s v="Mikayla Henry"/>
    <s v="Mikayla Henry"/>
    <s v="f"/>
    <s v="Female"/>
    <n v="43"/>
    <x v="14"/>
    <x v="1"/>
    <x v="1"/>
    <n v="1"/>
    <x v="2"/>
    <s v="USD 50"/>
    <s v="50"/>
    <x v="1"/>
    <n v="4.5999999999999996"/>
    <b v="1"/>
    <x v="1"/>
    <n v="64"/>
    <n v="0.64"/>
  </r>
  <r>
    <s v="FL250212"/>
    <s v="Jacob Kerr"/>
    <s v="Jacob Kerr"/>
    <s v="m"/>
    <s v="Male"/>
    <n v="57"/>
    <x v="12"/>
    <x v="10"/>
    <x v="7"/>
    <n v="8"/>
    <x v="3"/>
    <n v="20"/>
    <s v="20"/>
    <x v="6"/>
    <n v="0"/>
    <s v="yes"/>
    <x v="1"/>
    <n v="0.84"/>
    <n v="0.84"/>
  </r>
  <r>
    <s v="FL250213"/>
    <s v="Ryan Johnson"/>
    <s v="Ryan Johnson"/>
    <s v="male"/>
    <s v="Male"/>
    <n v="52"/>
    <x v="0"/>
    <x v="0"/>
    <x v="9"/>
    <n v="30"/>
    <x v="1"/>
    <n v="20"/>
    <s v="20"/>
    <x v="6"/>
    <n v="2.8"/>
    <s v="no"/>
    <x v="0"/>
    <n v="0.87"/>
    <n v="0.87"/>
  </r>
  <r>
    <s v="FL250214"/>
    <s v="Michael Ruiz"/>
    <s v="Michael Ruiz"/>
    <s v="male"/>
    <s v="Male"/>
    <m/>
    <x v="2"/>
    <x v="2"/>
    <x v="0"/>
    <n v="8"/>
    <x v="3"/>
    <n v="40"/>
    <s v="40"/>
    <x v="2"/>
    <n v="0"/>
    <s v="N"/>
    <x v="0"/>
    <n v="0.64"/>
    <n v="0.64"/>
  </r>
  <r>
    <s v="FL250215"/>
    <s v="Monica Roberts"/>
    <s v="Monica Roberts"/>
    <s v="FEMALE"/>
    <s v="Female"/>
    <n v="22"/>
    <x v="4"/>
    <x v="4"/>
    <x v="9"/>
    <n v="0"/>
    <x v="2"/>
    <n v="100"/>
    <n v="100"/>
    <x v="0"/>
    <n v="2.7"/>
    <b v="1"/>
    <x v="1"/>
    <n v="0.64"/>
    <n v="0.64"/>
  </r>
  <r>
    <s v="FL250216"/>
    <s v="Danny Brown"/>
    <s v="Danny Brown"/>
    <s v="m"/>
    <s v="Male"/>
    <m/>
    <x v="10"/>
    <x v="8"/>
    <x v="9"/>
    <n v="12"/>
    <x v="0"/>
    <n v="20"/>
    <s v="20"/>
    <x v="6"/>
    <n v="0"/>
    <b v="1"/>
    <x v="1"/>
    <n v="0.8"/>
    <n v="0.8"/>
  </r>
  <r>
    <s v="FL250217"/>
    <s v="Karen Larsen"/>
    <s v="Karen Larsen"/>
    <s v="f"/>
    <s v="Female"/>
    <n v="58"/>
    <x v="20"/>
    <x v="6"/>
    <x v="1"/>
    <n v="4"/>
    <x v="2"/>
    <n v="50"/>
    <s v="50"/>
    <x v="1"/>
    <n v="3.1"/>
    <n v="0"/>
    <x v="0"/>
    <n v="0.9"/>
    <n v="0.9"/>
  </r>
  <r>
    <s v="FL250218"/>
    <s v="Robert Evans"/>
    <s v="Robert Evans"/>
    <s v="m"/>
    <s v="Male"/>
    <n v="39"/>
    <x v="12"/>
    <x v="10"/>
    <x v="3"/>
    <n v="14"/>
    <x v="0"/>
    <s v="USD 100"/>
    <s v="100"/>
    <x v="0"/>
    <n v="0"/>
    <s v="Y"/>
    <x v="1"/>
    <n v="0.92"/>
    <n v="0.92"/>
  </r>
  <r>
    <s v="FL250219"/>
    <s v="Sean Poole"/>
    <s v="Sean Poole"/>
    <s v="m"/>
    <s v="Male"/>
    <n v="32"/>
    <x v="4"/>
    <x v="4"/>
    <x v="2"/>
    <n v="14"/>
    <x v="0"/>
    <m/>
    <m/>
    <x v="5"/>
    <m/>
    <n v="0"/>
    <x v="0"/>
    <n v="0.96"/>
    <n v="0.96"/>
  </r>
  <r>
    <s v="FL250220"/>
    <s v="Richard Quinn"/>
    <s v="Richard Quinn"/>
    <s v="m"/>
    <s v="Male"/>
    <n v="37"/>
    <x v="14"/>
    <x v="1"/>
    <x v="6"/>
    <n v="2"/>
    <x v="2"/>
    <n v="30"/>
    <s v="30"/>
    <x v="3"/>
    <n v="2.2999999999999998"/>
    <s v="yes"/>
    <x v="1"/>
    <m/>
    <m/>
  </r>
  <r>
    <s v="FL250221"/>
    <s v="Jennifer Gonzalez"/>
    <s v="Jennifer Gonzalez"/>
    <s v="FEMALE"/>
    <s v="Female"/>
    <n v="21"/>
    <x v="18"/>
    <x v="15"/>
    <x v="7"/>
    <n v="2"/>
    <x v="2"/>
    <n v="100"/>
    <n v="100"/>
    <x v="0"/>
    <n v="2.4"/>
    <s v="Y"/>
    <x v="1"/>
    <m/>
    <m/>
  </r>
  <r>
    <s v="FL250222"/>
    <s v="James Skinner"/>
    <s v="James Skinner"/>
    <s v="male"/>
    <s v="Male"/>
    <n v="41"/>
    <x v="12"/>
    <x v="10"/>
    <x v="9"/>
    <n v="4"/>
    <x v="2"/>
    <n v="75"/>
    <n v="75"/>
    <x v="4"/>
    <n v="2.6"/>
    <m/>
    <x v="2"/>
    <n v="0.85"/>
    <n v="0.85"/>
  </r>
  <r>
    <s v="FL250223"/>
    <s v="Michelle Hill"/>
    <s v="Michelle Hill"/>
    <s v="f"/>
    <s v="Female"/>
    <n v="21"/>
    <x v="14"/>
    <x v="1"/>
    <x v="4"/>
    <n v="0"/>
    <x v="2"/>
    <s v="USD 40"/>
    <s v="40"/>
    <x v="2"/>
    <n v="1.1000000000000001"/>
    <n v="0"/>
    <x v="0"/>
    <n v="0.79"/>
    <n v="0.79"/>
  </r>
  <r>
    <s v="FL250224"/>
    <s v="Jacqueline Williams"/>
    <s v="Jacqueline Williams"/>
    <s v="f"/>
    <s v="Female"/>
    <n v="58"/>
    <x v="18"/>
    <x v="15"/>
    <x v="9"/>
    <n v="9"/>
    <x v="3"/>
    <n v="30"/>
    <n v="30"/>
    <x v="3"/>
    <n v="0"/>
    <n v="1"/>
    <x v="1"/>
    <n v="0.65"/>
    <n v="0.65"/>
  </r>
  <r>
    <s v="FL250225"/>
    <s v="Darrell Johnson"/>
    <s v="Darrell Johnson"/>
    <s v="male"/>
    <s v="Male"/>
    <n v="60"/>
    <x v="14"/>
    <x v="1"/>
    <x v="9"/>
    <n v="3"/>
    <x v="2"/>
    <n v="40"/>
    <n v="40"/>
    <x v="2"/>
    <n v="4.7"/>
    <b v="0"/>
    <x v="0"/>
    <n v="0.63"/>
    <n v="0.63"/>
  </r>
  <r>
    <s v="FL250226"/>
    <s v="Ryan Crawford"/>
    <s v="Ryan Crawford"/>
    <s v="m"/>
    <s v="Male"/>
    <n v="27"/>
    <x v="17"/>
    <x v="14"/>
    <x v="3"/>
    <n v="2"/>
    <x v="2"/>
    <n v="40"/>
    <s v="40"/>
    <x v="2"/>
    <n v="1.2"/>
    <b v="0"/>
    <x v="0"/>
    <m/>
    <m/>
  </r>
  <r>
    <s v="FL250227"/>
    <s v="Chelsea Barber"/>
    <s v="Chelsea Barber"/>
    <s v="f"/>
    <s v="Female"/>
    <n v="29"/>
    <x v="2"/>
    <x v="2"/>
    <x v="9"/>
    <n v="10"/>
    <x v="3"/>
    <s v="USD 40"/>
    <s v="40"/>
    <x v="2"/>
    <n v="1.2"/>
    <b v="0"/>
    <x v="0"/>
    <n v="0.78"/>
    <n v="0.78"/>
  </r>
  <r>
    <s v="FL250228"/>
    <s v="Elaine Martinez"/>
    <s v="Elaine Martinez"/>
    <s v="FEMALE"/>
    <s v="Female"/>
    <n v="54"/>
    <x v="14"/>
    <x v="1"/>
    <x v="2"/>
    <n v="33"/>
    <x v="1"/>
    <n v="75"/>
    <s v="75"/>
    <x v="4"/>
    <n v="0"/>
    <n v="1"/>
    <x v="1"/>
    <n v="0.62"/>
    <n v="0.62"/>
  </r>
  <r>
    <s v="FL250229"/>
    <s v="Joseph Kent"/>
    <s v="Joseph Kent"/>
    <s v="m"/>
    <s v="Male"/>
    <n v="52"/>
    <x v="19"/>
    <x v="6"/>
    <x v="9"/>
    <n v="12"/>
    <x v="0"/>
    <n v="40"/>
    <n v="40"/>
    <x v="2"/>
    <n v="1.2"/>
    <n v="0"/>
    <x v="0"/>
    <n v="0.76"/>
    <n v="0.76"/>
  </r>
  <r>
    <s v="FL250230"/>
    <s v="Megan Welch"/>
    <s v="Megan Welch"/>
    <s v="FEMALE"/>
    <s v="Female"/>
    <n v="55"/>
    <x v="4"/>
    <x v="4"/>
    <x v="0"/>
    <n v="18"/>
    <x v="4"/>
    <n v="100"/>
    <n v="100"/>
    <x v="0"/>
    <n v="2.9"/>
    <n v="0"/>
    <x v="0"/>
    <n v="97"/>
    <n v="0.97"/>
  </r>
  <r>
    <s v="FL250231"/>
    <s v="Stephen Ramirez"/>
    <s v="Stephen Ramirez"/>
    <s v="male"/>
    <s v="Male"/>
    <n v="37"/>
    <x v="11"/>
    <x v="9"/>
    <x v="0"/>
    <n v="4"/>
    <x v="2"/>
    <m/>
    <m/>
    <x v="5"/>
    <m/>
    <s v="N"/>
    <x v="0"/>
    <m/>
    <m/>
  </r>
  <r>
    <s v="FL250232"/>
    <s v="Chloe Gray"/>
    <s v="Chloe Gray"/>
    <s v="f"/>
    <s v="Female"/>
    <n v="34"/>
    <x v="16"/>
    <x v="13"/>
    <x v="5"/>
    <n v="11"/>
    <x v="0"/>
    <n v="50"/>
    <s v="50"/>
    <x v="1"/>
    <n v="3.9"/>
    <n v="1"/>
    <x v="1"/>
    <n v="0.82"/>
    <n v="0.82"/>
  </r>
  <r>
    <s v="FL250233"/>
    <s v="Michael Williams Jr."/>
    <s v="Michael Williams Jr."/>
    <s v="m"/>
    <s v="Male"/>
    <n v="20"/>
    <x v="15"/>
    <x v="12"/>
    <x v="5"/>
    <n v="1"/>
    <x v="2"/>
    <n v="50"/>
    <n v="50"/>
    <x v="1"/>
    <n v="3.1"/>
    <m/>
    <x v="2"/>
    <n v="0.71"/>
    <n v="0.71"/>
  </r>
  <r>
    <s v="FL250234"/>
    <s v="Matthew Martin"/>
    <s v="Matthew Martin"/>
    <s v="m"/>
    <s v="Male"/>
    <n v="22"/>
    <x v="19"/>
    <x v="6"/>
    <x v="6"/>
    <n v="2"/>
    <x v="2"/>
    <m/>
    <m/>
    <x v="5"/>
    <n v="0"/>
    <n v="1"/>
    <x v="1"/>
    <m/>
    <m/>
  </r>
  <r>
    <s v="FL250235"/>
    <s v="Julia Murphy"/>
    <s v="Julia Murphy"/>
    <s v="f"/>
    <s v="Female"/>
    <n v="23"/>
    <x v="12"/>
    <x v="10"/>
    <x v="2"/>
    <n v="2"/>
    <x v="2"/>
    <n v="50"/>
    <n v="50"/>
    <x v="1"/>
    <n v="3.2"/>
    <b v="1"/>
    <x v="1"/>
    <m/>
    <m/>
  </r>
  <r>
    <s v="FL250236"/>
    <s v="Anna Evans"/>
    <s v="Anna Evans"/>
    <s v="f"/>
    <s v="Female"/>
    <n v="53"/>
    <x v="12"/>
    <x v="10"/>
    <x v="0"/>
    <n v="34"/>
    <x v="1"/>
    <n v="30"/>
    <n v="30"/>
    <x v="3"/>
    <m/>
    <s v="Y"/>
    <x v="1"/>
    <m/>
    <m/>
  </r>
  <r>
    <s v="FL250237"/>
    <s v="Brenda Fleming"/>
    <s v="Brenda Fleming"/>
    <s v="f"/>
    <s v="Female"/>
    <n v="56"/>
    <x v="12"/>
    <x v="10"/>
    <x v="2"/>
    <n v="27"/>
    <x v="1"/>
    <n v="100"/>
    <n v="100"/>
    <x v="0"/>
    <n v="4.7"/>
    <b v="1"/>
    <x v="1"/>
    <n v="0.69"/>
    <n v="0.69"/>
  </r>
  <r>
    <s v="FL250238"/>
    <s v="Daniel Harrington"/>
    <s v="Daniel Harrington"/>
    <s v="m"/>
    <s v="Male"/>
    <n v="27"/>
    <x v="14"/>
    <x v="1"/>
    <x v="4"/>
    <n v="4"/>
    <x v="2"/>
    <n v="75"/>
    <n v="75"/>
    <x v="4"/>
    <n v="5"/>
    <n v="0"/>
    <x v="0"/>
    <n v="0.88"/>
    <n v="0.88"/>
  </r>
  <r>
    <s v="FL250239"/>
    <s v="Daniel Barnett"/>
    <s v="Daniel Barnett"/>
    <s v="male"/>
    <s v="Male"/>
    <n v="34"/>
    <x v="0"/>
    <x v="0"/>
    <x v="1"/>
    <n v="11"/>
    <x v="0"/>
    <s v="USD 40"/>
    <s v="40"/>
    <x v="2"/>
    <m/>
    <b v="0"/>
    <x v="0"/>
    <n v="0.67"/>
    <n v="0.67"/>
  </r>
  <r>
    <s v="FL250240"/>
    <s v="Mark Cummings"/>
    <s v="Mark Cummings"/>
    <s v="m"/>
    <s v="Male"/>
    <n v="29"/>
    <x v="5"/>
    <x v="1"/>
    <x v="3"/>
    <n v="4"/>
    <x v="2"/>
    <s v="USD 50"/>
    <s v="50"/>
    <x v="1"/>
    <n v="4"/>
    <n v="0"/>
    <x v="0"/>
    <m/>
    <m/>
  </r>
  <r>
    <s v="FL250241"/>
    <s v="Christopher Guerra"/>
    <s v="Christopher Guerra"/>
    <s v="m"/>
    <s v="Male"/>
    <n v="34"/>
    <x v="10"/>
    <x v="8"/>
    <x v="4"/>
    <n v="11"/>
    <x v="0"/>
    <m/>
    <m/>
    <x v="5"/>
    <n v="1.2"/>
    <n v="1"/>
    <x v="1"/>
    <m/>
    <m/>
  </r>
  <r>
    <s v="FL250242"/>
    <s v="Sarah Ho"/>
    <s v="Sarah Ho"/>
    <s v="FEMALE"/>
    <s v="Female"/>
    <n v="32"/>
    <x v="19"/>
    <x v="6"/>
    <x v="4"/>
    <n v="1"/>
    <x v="2"/>
    <n v="100"/>
    <n v="100"/>
    <x v="0"/>
    <n v="4.7"/>
    <n v="0"/>
    <x v="0"/>
    <n v="0.67"/>
    <n v="0.67"/>
  </r>
  <r>
    <s v="FL250243"/>
    <s v="Veronica Thomas"/>
    <s v="Veronica Thomas"/>
    <s v="f"/>
    <s v="Female"/>
    <n v="21"/>
    <x v="17"/>
    <x v="14"/>
    <x v="9"/>
    <n v="2"/>
    <x v="2"/>
    <n v="20"/>
    <n v="20"/>
    <x v="6"/>
    <n v="2.4"/>
    <m/>
    <x v="2"/>
    <n v="0.86"/>
    <n v="0.86"/>
  </r>
  <r>
    <s v="FL250244"/>
    <s v="Mitchell Watson"/>
    <s v="Mitchell Watson"/>
    <s v="male"/>
    <s v="Male"/>
    <n v="20"/>
    <x v="19"/>
    <x v="6"/>
    <x v="2"/>
    <n v="2"/>
    <x v="2"/>
    <m/>
    <m/>
    <x v="5"/>
    <n v="1.1000000000000001"/>
    <b v="0"/>
    <x v="0"/>
    <n v="0.69"/>
    <n v="0.69"/>
  </r>
  <r>
    <s v="FL250245"/>
    <s v="Monica Murphy"/>
    <s v="Monica Murphy"/>
    <s v="FEMALE"/>
    <s v="Female"/>
    <n v="35"/>
    <x v="5"/>
    <x v="1"/>
    <x v="1"/>
    <n v="10"/>
    <x v="3"/>
    <n v="50"/>
    <n v="50"/>
    <x v="1"/>
    <n v="1.4"/>
    <b v="1"/>
    <x v="1"/>
    <n v="0.85"/>
    <n v="0.85"/>
  </r>
  <r>
    <s v="FL250246"/>
    <s v="Kristen Williams"/>
    <s v="Kristen Williams"/>
    <s v="f"/>
    <s v="Female"/>
    <n v="47"/>
    <x v="5"/>
    <x v="1"/>
    <x v="6"/>
    <n v="18"/>
    <x v="4"/>
    <n v="40"/>
    <n v="40"/>
    <x v="2"/>
    <n v="3.4"/>
    <n v="0"/>
    <x v="0"/>
    <n v="60"/>
    <n v="0.6"/>
  </r>
  <r>
    <s v="FL250247"/>
    <s v="Nicole Wright"/>
    <s v="Nicole Wright"/>
    <s v="f"/>
    <s v="Female"/>
    <n v="41"/>
    <x v="6"/>
    <x v="5"/>
    <x v="0"/>
    <n v="4"/>
    <x v="2"/>
    <n v="40"/>
    <n v="40"/>
    <x v="2"/>
    <n v="2.7"/>
    <n v="1"/>
    <x v="1"/>
    <n v="70"/>
    <n v="0.7"/>
  </r>
  <r>
    <s v="FL250248"/>
    <s v="Andrew Ruiz"/>
    <s v="Andrew Ruiz"/>
    <s v="male"/>
    <s v="Male"/>
    <n v="58"/>
    <x v="8"/>
    <x v="6"/>
    <x v="3"/>
    <n v="23"/>
    <x v="1"/>
    <m/>
    <m/>
    <x v="5"/>
    <n v="4.9000000000000004"/>
    <b v="0"/>
    <x v="0"/>
    <m/>
    <m/>
  </r>
  <r>
    <s v="FL250249"/>
    <s v="Zachary Jackson"/>
    <s v="Zachary Jackson"/>
    <s v="m"/>
    <s v="Male"/>
    <n v="34"/>
    <x v="18"/>
    <x v="15"/>
    <x v="5"/>
    <n v="6"/>
    <x v="3"/>
    <n v="75"/>
    <n v="75"/>
    <x v="4"/>
    <n v="1.9"/>
    <n v="1"/>
    <x v="1"/>
    <n v="0.81"/>
    <n v="0.81"/>
  </r>
  <r>
    <s v="FL250250"/>
    <s v="Stephanie Carter"/>
    <s v="Stephanie Carter"/>
    <s v="f"/>
    <s v="Female"/>
    <n v="50"/>
    <x v="10"/>
    <x v="8"/>
    <x v="1"/>
    <n v="5"/>
    <x v="2"/>
    <n v="100"/>
    <n v="100"/>
    <x v="0"/>
    <m/>
    <n v="1"/>
    <x v="1"/>
    <m/>
    <m/>
  </r>
  <r>
    <s v="FL250251"/>
    <s v="Amy Olson"/>
    <s v="Amy Olson"/>
    <s v="f"/>
    <s v="Female"/>
    <n v="42"/>
    <x v="19"/>
    <x v="6"/>
    <x v="8"/>
    <n v="19"/>
    <x v="4"/>
    <s v="USD 75"/>
    <s v="75"/>
    <x v="4"/>
    <n v="4.5999999999999996"/>
    <n v="0"/>
    <x v="0"/>
    <n v="0.78"/>
    <n v="0.78"/>
  </r>
  <r>
    <s v="FL250252"/>
    <s v="Fred Stark"/>
    <s v="Fred Stark"/>
    <s v="m"/>
    <s v="Male"/>
    <n v="43"/>
    <x v="2"/>
    <x v="2"/>
    <x v="6"/>
    <n v="6"/>
    <x v="3"/>
    <n v="50"/>
    <n v="50"/>
    <x v="1"/>
    <n v="0"/>
    <n v="0"/>
    <x v="0"/>
    <n v="81"/>
    <n v="0.81"/>
  </r>
  <r>
    <s v="FL250253"/>
    <s v="Jacob Gill"/>
    <s v="Jacob Gill"/>
    <s v="male"/>
    <s v="Male"/>
    <n v="34"/>
    <x v="2"/>
    <x v="2"/>
    <x v="5"/>
    <n v="8"/>
    <x v="3"/>
    <n v="75"/>
    <n v="75"/>
    <x v="4"/>
    <n v="1.8"/>
    <n v="1"/>
    <x v="1"/>
    <n v="0.71"/>
    <n v="0.71"/>
  </r>
  <r>
    <s v="FL250254"/>
    <s v="Anthony Nichols"/>
    <s v="Anthony Nichols"/>
    <s v="male"/>
    <s v="Male"/>
    <n v="24"/>
    <x v="20"/>
    <x v="6"/>
    <x v="1"/>
    <n v="3"/>
    <x v="2"/>
    <n v="75"/>
    <n v="75"/>
    <x v="4"/>
    <n v="2"/>
    <b v="0"/>
    <x v="0"/>
    <m/>
    <m/>
  </r>
  <r>
    <s v="FL250255"/>
    <s v="William Knapp"/>
    <s v="William Knapp"/>
    <s v="m"/>
    <s v="Male"/>
    <n v="48"/>
    <x v="17"/>
    <x v="14"/>
    <x v="6"/>
    <n v="8"/>
    <x v="3"/>
    <n v="30"/>
    <n v="30"/>
    <x v="3"/>
    <n v="5"/>
    <n v="1"/>
    <x v="1"/>
    <n v="0.99"/>
    <n v="0.99"/>
  </r>
  <r>
    <s v="FL250256"/>
    <s v="Elizabeth Walker"/>
    <s v="Elizabeth Walker"/>
    <s v="f"/>
    <s v="Female"/>
    <n v="39"/>
    <x v="12"/>
    <x v="10"/>
    <x v="5"/>
    <n v="12"/>
    <x v="0"/>
    <n v="20"/>
    <s v="20"/>
    <x v="6"/>
    <n v="3.2"/>
    <b v="1"/>
    <x v="1"/>
    <n v="0.66"/>
    <n v="0.66"/>
  </r>
  <r>
    <s v="FL250257"/>
    <s v="Brenda Reeves"/>
    <s v="Brenda Reeves"/>
    <s v="f"/>
    <s v="Female"/>
    <n v="57"/>
    <x v="1"/>
    <x v="1"/>
    <x v="0"/>
    <n v="30"/>
    <x v="1"/>
    <n v="30"/>
    <s v="30"/>
    <x v="3"/>
    <n v="2.4"/>
    <m/>
    <x v="2"/>
    <n v="0.8"/>
    <n v="0.8"/>
  </r>
  <r>
    <s v="FL250258"/>
    <s v="Carrie Little"/>
    <s v="Carrie Little"/>
    <s v="FEMALE"/>
    <s v="Female"/>
    <n v="44"/>
    <x v="14"/>
    <x v="1"/>
    <x v="3"/>
    <n v="21"/>
    <x v="1"/>
    <n v="100"/>
    <n v="100"/>
    <x v="0"/>
    <n v="2.9"/>
    <n v="0"/>
    <x v="0"/>
    <n v="0.83"/>
    <n v="0.83"/>
  </r>
  <r>
    <s v="FL250259"/>
    <s v="Steven Jackson"/>
    <s v="Steven Jackson"/>
    <s v="male"/>
    <s v="Male"/>
    <n v="37"/>
    <x v="11"/>
    <x v="9"/>
    <x v="6"/>
    <n v="17"/>
    <x v="4"/>
    <s v="USD 20"/>
    <s v="20"/>
    <x v="6"/>
    <n v="0"/>
    <s v="yes"/>
    <x v="1"/>
    <n v="87"/>
    <n v="0.87"/>
  </r>
  <r>
    <s v="FL250260"/>
    <s v="Mark Perry"/>
    <s v="Mark Perry"/>
    <s v="male"/>
    <s v="Male"/>
    <n v="50"/>
    <x v="6"/>
    <x v="5"/>
    <x v="5"/>
    <n v="9"/>
    <x v="3"/>
    <n v="30"/>
    <n v="30"/>
    <x v="3"/>
    <n v="3"/>
    <n v="0"/>
    <x v="0"/>
    <n v="76"/>
    <n v="0.76"/>
  </r>
  <r>
    <s v="FL250261"/>
    <s v="Cameron Spencer"/>
    <s v="Cameron Spencer"/>
    <s v="male"/>
    <s v="Male"/>
    <n v="50"/>
    <x v="20"/>
    <x v="6"/>
    <x v="6"/>
    <n v="2"/>
    <x v="2"/>
    <n v="50"/>
    <n v="50"/>
    <x v="1"/>
    <n v="1.6"/>
    <s v="no"/>
    <x v="0"/>
    <n v="0.89"/>
    <n v="0.89"/>
  </r>
  <r>
    <s v="FL250262"/>
    <s v="Jennifer Holmes"/>
    <s v="Jennifer Holmes"/>
    <s v="FEMALE"/>
    <s v="Female"/>
    <n v="28"/>
    <x v="15"/>
    <x v="12"/>
    <x v="2"/>
    <n v="1"/>
    <x v="2"/>
    <n v="20"/>
    <n v="20"/>
    <x v="6"/>
    <n v="3.6"/>
    <s v="yes"/>
    <x v="1"/>
    <n v="0.94"/>
    <n v="0.94"/>
  </r>
  <r>
    <s v="FL250263"/>
    <s v="Jacob Joseph"/>
    <s v="Jacob Joseph"/>
    <s v="male"/>
    <s v="Male"/>
    <n v="48"/>
    <x v="0"/>
    <x v="0"/>
    <x v="3"/>
    <n v="23"/>
    <x v="1"/>
    <m/>
    <m/>
    <x v="5"/>
    <n v="2.1"/>
    <n v="0"/>
    <x v="0"/>
    <n v="0.68"/>
    <n v="0.68"/>
  </r>
  <r>
    <s v="FL250264"/>
    <s v="Jeffery Tucker"/>
    <s v="Jeffery Tucker"/>
    <s v="male"/>
    <s v="Male"/>
    <n v="42"/>
    <x v="2"/>
    <x v="2"/>
    <x v="8"/>
    <n v="8"/>
    <x v="3"/>
    <n v="30"/>
    <n v="30"/>
    <x v="3"/>
    <n v="3.6"/>
    <n v="1"/>
    <x v="1"/>
    <n v="0.96"/>
    <n v="0.96"/>
  </r>
  <r>
    <s v="FL250265"/>
    <s v="Jacqueline Drake"/>
    <s v="Jacqueline Drake"/>
    <s v="FEMALE"/>
    <s v="Female"/>
    <n v="37"/>
    <x v="14"/>
    <x v="1"/>
    <x v="5"/>
    <n v="6"/>
    <x v="3"/>
    <n v="20"/>
    <s v="20"/>
    <x v="6"/>
    <n v="2.7"/>
    <b v="1"/>
    <x v="1"/>
    <n v="0.91"/>
    <n v="0.91"/>
  </r>
  <r>
    <s v="FL250266"/>
    <s v="Brian Bautista"/>
    <s v="Brian Bautista"/>
    <s v="male"/>
    <s v="Male"/>
    <n v="21"/>
    <x v="10"/>
    <x v="8"/>
    <x v="0"/>
    <n v="1"/>
    <x v="2"/>
    <n v="100"/>
    <n v="100"/>
    <x v="0"/>
    <n v="2.1"/>
    <n v="1"/>
    <x v="1"/>
    <n v="0.92"/>
    <n v="0.92"/>
  </r>
  <r>
    <s v="FL250267"/>
    <s v="Dakota Wells"/>
    <s v="Dakota Wells"/>
    <s v="male"/>
    <s v="Male"/>
    <n v="50"/>
    <x v="12"/>
    <x v="10"/>
    <x v="3"/>
    <n v="19"/>
    <x v="4"/>
    <n v="40"/>
    <s v="40"/>
    <x v="2"/>
    <n v="4.9000000000000004"/>
    <m/>
    <x v="2"/>
    <n v="0.82"/>
    <n v="0.82"/>
  </r>
  <r>
    <s v="FL250268"/>
    <s v="Julie White"/>
    <s v="Julie White"/>
    <s v="f"/>
    <s v="Female"/>
    <n v="22"/>
    <x v="8"/>
    <x v="6"/>
    <x v="4"/>
    <n v="2"/>
    <x v="2"/>
    <n v="30"/>
    <n v="30"/>
    <x v="3"/>
    <n v="2.1"/>
    <m/>
    <x v="2"/>
    <m/>
    <m/>
  </r>
  <r>
    <s v="FL250269"/>
    <s v="Barbara Keith"/>
    <s v="Barbara Keith"/>
    <s v="FEMALE"/>
    <s v="Female"/>
    <n v="39"/>
    <x v="9"/>
    <x v="7"/>
    <x v="3"/>
    <n v="21"/>
    <x v="1"/>
    <n v="100"/>
    <n v="100"/>
    <x v="0"/>
    <n v="0"/>
    <s v="no"/>
    <x v="0"/>
    <n v="0.91"/>
    <n v="0.91"/>
  </r>
  <r>
    <s v="FL250270"/>
    <s v="Heather Camacho"/>
    <s v="Heather Camacho"/>
    <s v="FEMALE"/>
    <s v="Female"/>
    <n v="25"/>
    <x v="9"/>
    <x v="7"/>
    <x v="9"/>
    <n v="3"/>
    <x v="2"/>
    <n v="50"/>
    <s v="50"/>
    <x v="1"/>
    <n v="2.8"/>
    <s v="yes"/>
    <x v="1"/>
    <n v="86"/>
    <n v="0.86"/>
  </r>
  <r>
    <s v="FL250271"/>
    <s v="Melanie Harris"/>
    <s v="Melanie Harris"/>
    <s v="FEMALE"/>
    <s v="Female"/>
    <n v="47"/>
    <x v="17"/>
    <x v="14"/>
    <x v="1"/>
    <n v="14"/>
    <x v="0"/>
    <m/>
    <m/>
    <x v="5"/>
    <m/>
    <b v="0"/>
    <x v="0"/>
    <n v="0.69"/>
    <n v="0.69"/>
  </r>
  <r>
    <s v="FL250272"/>
    <s v="Jacqueline Peterson"/>
    <s v="Jacqueline Peterson"/>
    <s v="f"/>
    <s v="Female"/>
    <n v="35"/>
    <x v="17"/>
    <x v="14"/>
    <x v="6"/>
    <n v="10"/>
    <x v="3"/>
    <s v="USD 100"/>
    <s v="100"/>
    <x v="0"/>
    <n v="4.7"/>
    <b v="1"/>
    <x v="1"/>
    <n v="0.84"/>
    <n v="0.84"/>
  </r>
  <r>
    <s v="FL250273"/>
    <s v="Nancy Long"/>
    <s v="Nancy Long"/>
    <s v="f"/>
    <s v="Female"/>
    <m/>
    <x v="7"/>
    <x v="1"/>
    <x v="7"/>
    <n v="5"/>
    <x v="2"/>
    <n v="100"/>
    <n v="100"/>
    <x v="0"/>
    <n v="1.3"/>
    <n v="0"/>
    <x v="0"/>
    <n v="0.6"/>
    <n v="0.6"/>
  </r>
  <r>
    <s v="FL250274"/>
    <s v="Mr. Juan Mitchell"/>
    <s v="Juan Mitchell"/>
    <s v="male"/>
    <s v="Male"/>
    <n v="35"/>
    <x v="3"/>
    <x v="3"/>
    <x v="0"/>
    <n v="6"/>
    <x v="3"/>
    <s v="USD 75"/>
    <s v="75"/>
    <x v="4"/>
    <n v="1.6"/>
    <n v="1"/>
    <x v="1"/>
    <n v="0.97"/>
    <n v="0.97"/>
  </r>
  <r>
    <s v="FL250275"/>
    <s v="William Gaines"/>
    <s v="William Gaines"/>
    <s v="male"/>
    <s v="Male"/>
    <n v="59"/>
    <x v="15"/>
    <x v="12"/>
    <x v="3"/>
    <n v="21"/>
    <x v="1"/>
    <n v="100"/>
    <n v="100"/>
    <x v="0"/>
    <n v="0"/>
    <m/>
    <x v="2"/>
    <n v="0.7"/>
    <n v="0.7"/>
  </r>
  <r>
    <s v="FL250276"/>
    <s v="Haley Yates"/>
    <s v="Haley Yates"/>
    <s v="FEMALE"/>
    <s v="Female"/>
    <n v="26"/>
    <x v="18"/>
    <x v="15"/>
    <x v="6"/>
    <n v="4"/>
    <x v="2"/>
    <s v="USD 100"/>
    <s v="100"/>
    <x v="0"/>
    <n v="3.6"/>
    <s v="no"/>
    <x v="0"/>
    <n v="0.81"/>
    <n v="0.81"/>
  </r>
  <r>
    <s v="FL250277"/>
    <s v="Richard Mcguire"/>
    <s v="Richard Mcguire"/>
    <s v="male"/>
    <s v="Male"/>
    <n v="44"/>
    <x v="13"/>
    <x v="11"/>
    <x v="9"/>
    <n v="18"/>
    <x v="4"/>
    <n v="20"/>
    <n v="20"/>
    <x v="6"/>
    <n v="4.7"/>
    <n v="1"/>
    <x v="1"/>
    <n v="0.88"/>
    <n v="0.88"/>
  </r>
  <r>
    <s v="FL250278"/>
    <s v="Stephanie Fisher"/>
    <s v="Stephanie Fisher"/>
    <s v="FEMALE"/>
    <s v="Female"/>
    <n v="31"/>
    <x v="17"/>
    <x v="14"/>
    <x v="6"/>
    <n v="12"/>
    <x v="0"/>
    <n v="40"/>
    <s v="40"/>
    <x v="2"/>
    <m/>
    <n v="1"/>
    <x v="1"/>
    <n v="1"/>
    <n v="1"/>
  </r>
  <r>
    <s v="FL250279"/>
    <s v="Anthony Goodwin DDS"/>
    <s v="Anthony Goodwin DDS"/>
    <s v="male"/>
    <s v="Male"/>
    <n v="60"/>
    <x v="6"/>
    <x v="5"/>
    <x v="5"/>
    <n v="6"/>
    <x v="3"/>
    <m/>
    <m/>
    <x v="5"/>
    <n v="3.2"/>
    <n v="0"/>
    <x v="0"/>
    <n v="95"/>
    <n v="0.95"/>
  </r>
  <r>
    <s v="FL250280"/>
    <s v="Meagan Walters"/>
    <s v="Meagan Walters"/>
    <s v="FEMALE"/>
    <s v="Female"/>
    <n v="23"/>
    <x v="7"/>
    <x v="1"/>
    <x v="0"/>
    <n v="4"/>
    <x v="2"/>
    <s v="USD 20"/>
    <s v="20"/>
    <x v="6"/>
    <m/>
    <n v="0"/>
    <x v="0"/>
    <n v="0.71"/>
    <n v="0.71"/>
  </r>
  <r>
    <s v="FL250281"/>
    <s v="David Powell"/>
    <s v="David Powell"/>
    <s v="m"/>
    <s v="Male"/>
    <n v="42"/>
    <x v="4"/>
    <x v="4"/>
    <x v="6"/>
    <n v="13"/>
    <x v="0"/>
    <n v="20"/>
    <s v="20"/>
    <x v="6"/>
    <n v="4.7"/>
    <s v="N"/>
    <x v="0"/>
    <n v="0.85"/>
    <n v="0.85"/>
  </r>
  <r>
    <s v="FL250282"/>
    <s v="Kelly Jones"/>
    <s v="Kelly Jones"/>
    <s v="f"/>
    <s v="Female"/>
    <n v="48"/>
    <x v="10"/>
    <x v="8"/>
    <x v="1"/>
    <n v="6"/>
    <x v="3"/>
    <n v="30"/>
    <n v="30"/>
    <x v="3"/>
    <m/>
    <s v="N"/>
    <x v="0"/>
    <n v="0.96"/>
    <n v="0.96"/>
  </r>
  <r>
    <s v="FL250283"/>
    <s v="Dr. Michael Aguilar"/>
    <s v="Michael Aguilar"/>
    <s v="m"/>
    <s v="Male"/>
    <n v="42"/>
    <x v="3"/>
    <x v="3"/>
    <x v="2"/>
    <n v="10"/>
    <x v="3"/>
    <s v="USD 20"/>
    <s v="20"/>
    <x v="6"/>
    <n v="2.4"/>
    <s v="Y"/>
    <x v="1"/>
    <n v="0.92"/>
    <n v="0.92"/>
  </r>
  <r>
    <s v="FL250284"/>
    <s v="Alex Novak"/>
    <s v="Alex Novak"/>
    <s v="m"/>
    <s v="Male"/>
    <n v="52"/>
    <x v="12"/>
    <x v="10"/>
    <x v="7"/>
    <n v="20"/>
    <x v="4"/>
    <n v="50"/>
    <n v="50"/>
    <x v="1"/>
    <m/>
    <b v="0"/>
    <x v="0"/>
    <n v="0.79"/>
    <n v="0.79"/>
  </r>
  <r>
    <s v="FL250285"/>
    <s v="Ann Contreras"/>
    <s v="Ann Contreras"/>
    <s v="FEMALE"/>
    <s v="Female"/>
    <n v="55"/>
    <x v="9"/>
    <x v="7"/>
    <x v="3"/>
    <n v="20"/>
    <x v="4"/>
    <n v="75"/>
    <n v="75"/>
    <x v="4"/>
    <n v="2.9"/>
    <b v="0"/>
    <x v="0"/>
    <m/>
    <m/>
  </r>
  <r>
    <s v="FL250286"/>
    <s v="Mary Reed"/>
    <s v="Mary Reed"/>
    <s v="f"/>
    <s v="Female"/>
    <n v="58"/>
    <x v="17"/>
    <x v="14"/>
    <x v="7"/>
    <n v="11"/>
    <x v="0"/>
    <n v="50"/>
    <n v="50"/>
    <x v="1"/>
    <n v="0"/>
    <n v="0"/>
    <x v="0"/>
    <m/>
    <m/>
  </r>
  <r>
    <s v="FL250287"/>
    <s v="Lauren Ross"/>
    <s v="Lauren Ross"/>
    <s v="FEMALE"/>
    <s v="Female"/>
    <n v="46"/>
    <x v="12"/>
    <x v="10"/>
    <x v="9"/>
    <n v="12"/>
    <x v="0"/>
    <n v="20"/>
    <n v="20"/>
    <x v="6"/>
    <n v="0"/>
    <b v="0"/>
    <x v="0"/>
    <n v="0.89"/>
    <n v="0.89"/>
  </r>
  <r>
    <s v="FL250288"/>
    <s v="Candice Wise"/>
    <s v="Candice Wise"/>
    <s v="FEMALE"/>
    <s v="Female"/>
    <n v="45"/>
    <x v="20"/>
    <x v="6"/>
    <x v="9"/>
    <n v="1"/>
    <x v="2"/>
    <n v="100"/>
    <n v="100"/>
    <x v="0"/>
    <n v="1.5"/>
    <n v="1"/>
    <x v="1"/>
    <n v="1"/>
    <n v="1"/>
  </r>
  <r>
    <s v="FL250289"/>
    <s v="Joyce Humphrey"/>
    <s v="Joyce Humphrey"/>
    <s v="FEMALE"/>
    <s v="Female"/>
    <n v="56"/>
    <x v="10"/>
    <x v="8"/>
    <x v="9"/>
    <n v="2"/>
    <x v="2"/>
    <n v="30"/>
    <n v="30"/>
    <x v="3"/>
    <n v="1.9"/>
    <n v="1"/>
    <x v="1"/>
    <n v="0.81"/>
    <n v="0.81"/>
  </r>
  <r>
    <s v="FL250290"/>
    <s v="James Carr"/>
    <s v="James Carr"/>
    <s v="male"/>
    <s v="Male"/>
    <n v="44"/>
    <x v="7"/>
    <x v="1"/>
    <x v="0"/>
    <n v="13"/>
    <x v="0"/>
    <n v="100"/>
    <n v="100"/>
    <x v="0"/>
    <n v="3.1"/>
    <s v="Y"/>
    <x v="1"/>
    <n v="95"/>
    <n v="0.95"/>
  </r>
  <r>
    <s v="FL250291"/>
    <s v="Joseph Mendoza"/>
    <s v="Joseph Mendoza"/>
    <s v="male"/>
    <s v="Male"/>
    <n v="46"/>
    <x v="4"/>
    <x v="4"/>
    <x v="6"/>
    <n v="0"/>
    <x v="2"/>
    <m/>
    <m/>
    <x v="5"/>
    <n v="1.8"/>
    <s v="N"/>
    <x v="0"/>
    <n v="0.88"/>
    <n v="0.88"/>
  </r>
  <r>
    <s v="FL250292"/>
    <s v="Cathy Baldwin"/>
    <s v="Cathy Baldwin"/>
    <s v="FEMALE"/>
    <s v="Female"/>
    <n v="27"/>
    <x v="9"/>
    <x v="7"/>
    <x v="3"/>
    <n v="7"/>
    <x v="3"/>
    <n v="30"/>
    <n v="30"/>
    <x v="3"/>
    <n v="2.4"/>
    <s v="yes"/>
    <x v="1"/>
    <n v="0.66"/>
    <n v="0.66"/>
  </r>
  <r>
    <s v="FL250293"/>
    <s v="Christine Hart"/>
    <s v="Christine Hart"/>
    <s v="FEMALE"/>
    <s v="Female"/>
    <n v="49"/>
    <x v="10"/>
    <x v="8"/>
    <x v="0"/>
    <n v="13"/>
    <x v="0"/>
    <n v="100"/>
    <n v="100"/>
    <x v="0"/>
    <n v="4.2"/>
    <n v="1"/>
    <x v="1"/>
    <n v="0.84"/>
    <n v="0.84"/>
  </r>
  <r>
    <s v="FL250294"/>
    <s v="Mike Stanley"/>
    <s v="Mike Stanley"/>
    <s v="male"/>
    <s v="Male"/>
    <n v="53"/>
    <x v="19"/>
    <x v="6"/>
    <x v="3"/>
    <n v="21"/>
    <x v="1"/>
    <n v="50"/>
    <s v="50"/>
    <x v="1"/>
    <n v="1.4"/>
    <s v="N"/>
    <x v="0"/>
    <m/>
    <m/>
  </r>
  <r>
    <s v="FL250295"/>
    <s v="Jeffrey Edwards"/>
    <s v="Jeffrey Edwards"/>
    <s v="male"/>
    <s v="Male"/>
    <n v="56"/>
    <x v="1"/>
    <x v="1"/>
    <x v="3"/>
    <n v="19"/>
    <x v="4"/>
    <n v="40"/>
    <n v="40"/>
    <x v="2"/>
    <n v="1.2"/>
    <s v="Y"/>
    <x v="1"/>
    <n v="0.82"/>
    <n v="0.82"/>
  </r>
  <r>
    <s v="FL250296"/>
    <s v="Amy Lee"/>
    <s v="Amy Lee"/>
    <s v="FEMALE"/>
    <s v="Female"/>
    <n v="56"/>
    <x v="7"/>
    <x v="1"/>
    <x v="8"/>
    <n v="34"/>
    <x v="1"/>
    <m/>
    <m/>
    <x v="5"/>
    <n v="2.1"/>
    <s v="yes"/>
    <x v="1"/>
    <n v="0.84"/>
    <n v="0.84"/>
  </r>
  <r>
    <s v="FL250297"/>
    <s v="Mark Thompson"/>
    <s v="Mark Thompson"/>
    <s v="male"/>
    <s v="Male"/>
    <n v="38"/>
    <x v="17"/>
    <x v="14"/>
    <x v="5"/>
    <n v="3"/>
    <x v="2"/>
    <n v="100"/>
    <n v="100"/>
    <x v="0"/>
    <n v="1.4"/>
    <b v="0"/>
    <x v="0"/>
    <n v="0.73"/>
    <n v="0.73"/>
  </r>
  <r>
    <s v="FL250298"/>
    <s v="Alex Wilson"/>
    <s v="Alex Wilson"/>
    <s v="m"/>
    <s v="Male"/>
    <n v="20"/>
    <x v="12"/>
    <x v="10"/>
    <x v="1"/>
    <n v="0"/>
    <x v="2"/>
    <n v="30"/>
    <n v="30"/>
    <x v="3"/>
    <n v="3.8"/>
    <m/>
    <x v="2"/>
    <n v="0.93"/>
    <n v="0.93"/>
  </r>
  <r>
    <s v="FL250299"/>
    <s v="Nancy Mendez"/>
    <s v="Nancy Mendez"/>
    <s v="FEMALE"/>
    <s v="Female"/>
    <n v="38"/>
    <x v="14"/>
    <x v="1"/>
    <x v="9"/>
    <n v="20"/>
    <x v="4"/>
    <n v="50"/>
    <n v="50"/>
    <x v="1"/>
    <n v="0"/>
    <m/>
    <x v="2"/>
    <n v="0.64"/>
    <n v="0.64"/>
  </r>
  <r>
    <s v="FL250300"/>
    <s v="Beth Crane"/>
    <s v="Beth Crane"/>
    <s v="f"/>
    <s v="Female"/>
    <m/>
    <x v="3"/>
    <x v="3"/>
    <x v="1"/>
    <n v="6"/>
    <x v="3"/>
    <n v="40"/>
    <n v="40"/>
    <x v="2"/>
    <n v="3.5"/>
    <n v="0"/>
    <x v="0"/>
    <n v="0.76"/>
    <n v="0.76"/>
  </r>
  <r>
    <s v="FL250301"/>
    <s v="Miguel Rogers"/>
    <s v="Miguel Rogers"/>
    <s v="male"/>
    <s v="Male"/>
    <n v="46"/>
    <x v="10"/>
    <x v="8"/>
    <x v="9"/>
    <n v="13"/>
    <x v="0"/>
    <n v="100"/>
    <s v="100"/>
    <x v="0"/>
    <n v="0"/>
    <s v="Y"/>
    <x v="1"/>
    <n v="0.97"/>
    <n v="0.97"/>
  </r>
  <r>
    <s v="FL250302"/>
    <s v="Thomas Robles"/>
    <s v="Thomas Robles"/>
    <s v="male"/>
    <s v="Male"/>
    <n v="36"/>
    <x v="17"/>
    <x v="14"/>
    <x v="5"/>
    <n v="9"/>
    <x v="3"/>
    <n v="75"/>
    <n v="75"/>
    <x v="4"/>
    <n v="2.2000000000000002"/>
    <n v="0"/>
    <x v="0"/>
    <n v="0.95"/>
    <n v="0.95"/>
  </r>
  <r>
    <s v="FL250303"/>
    <s v="Joel Brown III"/>
    <s v="Joel Brown III"/>
    <s v="male"/>
    <s v="Male"/>
    <n v="33"/>
    <x v="13"/>
    <x v="11"/>
    <x v="3"/>
    <n v="2"/>
    <x v="2"/>
    <n v="75"/>
    <n v="75"/>
    <x v="4"/>
    <n v="2.5"/>
    <b v="0"/>
    <x v="0"/>
    <n v="0.65"/>
    <n v="0.65"/>
  </r>
  <r>
    <s v="FL250304"/>
    <s v="Olivia Schultz"/>
    <s v="Olivia Schultz"/>
    <s v="f"/>
    <s v="Female"/>
    <n v="37"/>
    <x v="14"/>
    <x v="1"/>
    <x v="2"/>
    <n v="0"/>
    <x v="2"/>
    <s v="USD 50"/>
    <s v="50"/>
    <x v="1"/>
    <n v="4.7"/>
    <n v="0"/>
    <x v="0"/>
    <n v="0.77"/>
    <n v="0.77"/>
  </r>
  <r>
    <s v="FL250305"/>
    <s v="Clayton Pena"/>
    <s v="Clayton Pena"/>
    <s v="male"/>
    <s v="Male"/>
    <n v="20"/>
    <x v="16"/>
    <x v="13"/>
    <x v="5"/>
    <n v="0"/>
    <x v="2"/>
    <n v="20"/>
    <n v="20"/>
    <x v="6"/>
    <n v="3.9"/>
    <b v="0"/>
    <x v="0"/>
    <m/>
    <m/>
  </r>
  <r>
    <s v="FL250306"/>
    <s v="Ashley Salazar"/>
    <s v="Ashley Salazar"/>
    <s v="FEMALE"/>
    <s v="Female"/>
    <n v="48"/>
    <x v="18"/>
    <x v="15"/>
    <x v="5"/>
    <n v="2"/>
    <x v="2"/>
    <n v="75"/>
    <n v="75"/>
    <x v="4"/>
    <n v="1.6"/>
    <s v="N"/>
    <x v="0"/>
    <n v="0.67"/>
    <n v="0.67"/>
  </r>
  <r>
    <s v="FL250307"/>
    <s v="Robert Lucas"/>
    <s v="Robert Lucas"/>
    <s v="male"/>
    <s v="Male"/>
    <n v="27"/>
    <x v="15"/>
    <x v="12"/>
    <x v="7"/>
    <n v="2"/>
    <x v="2"/>
    <n v="50"/>
    <s v="50"/>
    <x v="1"/>
    <m/>
    <n v="0"/>
    <x v="0"/>
    <n v="0.84"/>
    <n v="0.84"/>
  </r>
  <r>
    <s v="FL250308"/>
    <s v="David Cox"/>
    <s v="David Cox"/>
    <s v="m"/>
    <s v="Male"/>
    <n v="34"/>
    <x v="12"/>
    <x v="10"/>
    <x v="1"/>
    <n v="1"/>
    <x v="2"/>
    <n v="30"/>
    <n v="30"/>
    <x v="3"/>
    <n v="3.6"/>
    <n v="1"/>
    <x v="1"/>
    <n v="0.87"/>
    <n v="0.87"/>
  </r>
  <r>
    <s v="FL250309"/>
    <s v="Christian Campbell"/>
    <s v="Christian Campbell"/>
    <s v="male"/>
    <s v="Male"/>
    <n v="55"/>
    <x v="11"/>
    <x v="9"/>
    <x v="9"/>
    <n v="14"/>
    <x v="0"/>
    <s v="USD 30"/>
    <s v="30"/>
    <x v="3"/>
    <n v="1.2"/>
    <s v="yes"/>
    <x v="1"/>
    <n v="0.91"/>
    <n v="0.91"/>
  </r>
  <r>
    <s v="FL250310"/>
    <s v="Mrs. Angela Ward"/>
    <s v="Angela Ward"/>
    <s v="f"/>
    <s v="Female"/>
    <n v="44"/>
    <x v="17"/>
    <x v="14"/>
    <x v="9"/>
    <n v="14"/>
    <x v="0"/>
    <s v="USD 75"/>
    <s v="75"/>
    <x v="4"/>
    <n v="3"/>
    <n v="0"/>
    <x v="0"/>
    <n v="0.78"/>
    <n v="0.78"/>
  </r>
  <r>
    <s v="FL250311"/>
    <s v="Lucas Chen"/>
    <s v="Lucas Chen"/>
    <s v="male"/>
    <s v="Male"/>
    <n v="31"/>
    <x v="3"/>
    <x v="3"/>
    <x v="6"/>
    <n v="2"/>
    <x v="2"/>
    <n v="50"/>
    <n v="50"/>
    <x v="1"/>
    <n v="3.9"/>
    <n v="0"/>
    <x v="0"/>
    <m/>
    <m/>
  </r>
  <r>
    <s v="FL250312"/>
    <s v="Ruben Nelson"/>
    <s v="Ruben Nelson"/>
    <s v="m"/>
    <s v="Male"/>
    <n v="34"/>
    <x v="1"/>
    <x v="1"/>
    <x v="8"/>
    <n v="1"/>
    <x v="2"/>
    <n v="40"/>
    <n v="40"/>
    <x v="2"/>
    <n v="1.7"/>
    <m/>
    <x v="2"/>
    <n v="74"/>
    <n v="0.74"/>
  </r>
  <r>
    <s v="FL250313"/>
    <s v="Brenda Briggs"/>
    <s v="Brenda Briggs"/>
    <s v="f"/>
    <s v="Female"/>
    <n v="47"/>
    <x v="11"/>
    <x v="9"/>
    <x v="8"/>
    <n v="13"/>
    <x v="0"/>
    <n v="20"/>
    <n v="20"/>
    <x v="6"/>
    <n v="4.5"/>
    <m/>
    <x v="2"/>
    <n v="0.91"/>
    <n v="0.91"/>
  </r>
  <r>
    <s v="FL250314"/>
    <s v="Ronald Smith"/>
    <s v="Ronald Smith"/>
    <s v="m"/>
    <s v="Male"/>
    <n v="50"/>
    <x v="5"/>
    <x v="1"/>
    <x v="2"/>
    <n v="23"/>
    <x v="1"/>
    <n v="40"/>
    <s v="40"/>
    <x v="2"/>
    <n v="3.6"/>
    <b v="1"/>
    <x v="1"/>
    <n v="0.71"/>
    <n v="0.71"/>
  </r>
  <r>
    <s v="FL250315"/>
    <s v="Dakota Giles"/>
    <s v="Dakota Giles"/>
    <s v="m"/>
    <s v="Male"/>
    <n v="39"/>
    <x v="2"/>
    <x v="2"/>
    <x v="7"/>
    <m/>
    <x v="2"/>
    <s v="USD 75"/>
    <s v="75"/>
    <x v="4"/>
    <n v="3.6"/>
    <s v="Y"/>
    <x v="1"/>
    <n v="0.87"/>
    <n v="0.87"/>
  </r>
  <r>
    <s v="FL250316"/>
    <s v="Angela Castillo"/>
    <s v="Angela Castillo"/>
    <s v="FEMALE"/>
    <s v="Female"/>
    <n v="26"/>
    <x v="8"/>
    <x v="6"/>
    <x v="0"/>
    <n v="3"/>
    <x v="2"/>
    <s v="USD 100"/>
    <s v="100"/>
    <x v="0"/>
    <n v="2.8"/>
    <n v="1"/>
    <x v="1"/>
    <n v="0.61"/>
    <n v="0.61"/>
  </r>
  <r>
    <s v="FL250317"/>
    <s v="Allen Lee"/>
    <s v="Allen Lee"/>
    <s v="m"/>
    <s v="Male"/>
    <m/>
    <x v="3"/>
    <x v="3"/>
    <x v="8"/>
    <n v="0"/>
    <x v="2"/>
    <n v="100"/>
    <s v="100"/>
    <x v="0"/>
    <n v="5"/>
    <s v="N"/>
    <x v="0"/>
    <m/>
    <m/>
  </r>
  <r>
    <s v="FL250318"/>
    <s v="Michael Rogers"/>
    <s v="Michael Rogers"/>
    <s v="male"/>
    <s v="Male"/>
    <n v="32"/>
    <x v="2"/>
    <x v="2"/>
    <x v="2"/>
    <n v="0"/>
    <x v="2"/>
    <n v="100"/>
    <n v="100"/>
    <x v="0"/>
    <n v="1.4"/>
    <n v="1"/>
    <x v="1"/>
    <n v="0.81"/>
    <n v="0.81"/>
  </r>
  <r>
    <s v="FL250319"/>
    <s v="Danielle Costa"/>
    <s v="Danielle Costa"/>
    <s v="FEMALE"/>
    <s v="Female"/>
    <n v="55"/>
    <x v="13"/>
    <x v="11"/>
    <x v="5"/>
    <n v="17"/>
    <x v="4"/>
    <n v="30"/>
    <n v="30"/>
    <x v="3"/>
    <m/>
    <m/>
    <x v="2"/>
    <m/>
    <m/>
  </r>
  <r>
    <s v="FL250320"/>
    <s v="William Nunez"/>
    <s v="William Nunez"/>
    <s v="m"/>
    <s v="Male"/>
    <n v="32"/>
    <x v="8"/>
    <x v="6"/>
    <x v="9"/>
    <n v="9"/>
    <x v="3"/>
    <s v="USD 40"/>
    <s v="40"/>
    <x v="2"/>
    <n v="4.5999999999999996"/>
    <n v="1"/>
    <x v="1"/>
    <n v="0.84"/>
    <n v="0.84"/>
  </r>
  <r>
    <s v="FL250321"/>
    <s v="Christopher Riggs"/>
    <s v="Christopher Riggs"/>
    <s v="m"/>
    <s v="Male"/>
    <n v="30"/>
    <x v="12"/>
    <x v="10"/>
    <x v="0"/>
    <n v="4"/>
    <x v="2"/>
    <n v="20"/>
    <s v="20"/>
    <x v="6"/>
    <n v="3.3"/>
    <s v="no"/>
    <x v="0"/>
    <m/>
    <m/>
  </r>
  <r>
    <s v="FL250322"/>
    <s v="Kathryn Myers"/>
    <s v="Kathryn Myers"/>
    <s v="FEMALE"/>
    <s v="Female"/>
    <n v="37"/>
    <x v="14"/>
    <x v="1"/>
    <x v="7"/>
    <n v="0"/>
    <x v="2"/>
    <n v="40"/>
    <s v="40"/>
    <x v="2"/>
    <n v="3.7"/>
    <n v="1"/>
    <x v="1"/>
    <m/>
    <m/>
  </r>
  <r>
    <s v="FL250323"/>
    <s v="Robert Walls"/>
    <s v="Robert Walls"/>
    <s v="m"/>
    <s v="Male"/>
    <n v="52"/>
    <x v="11"/>
    <x v="9"/>
    <x v="2"/>
    <n v="33"/>
    <x v="1"/>
    <m/>
    <m/>
    <x v="5"/>
    <n v="0"/>
    <n v="1"/>
    <x v="1"/>
    <n v="0.6"/>
    <n v="0.6"/>
  </r>
  <r>
    <s v="FL250324"/>
    <s v="Justin Johnson"/>
    <s v="Justin Johnson"/>
    <s v="male"/>
    <s v="Male"/>
    <n v="48"/>
    <x v="10"/>
    <x v="8"/>
    <x v="7"/>
    <n v="18"/>
    <x v="4"/>
    <n v="50"/>
    <n v="50"/>
    <x v="1"/>
    <n v="0"/>
    <s v="Y"/>
    <x v="1"/>
    <n v="0.64"/>
    <n v="0.64"/>
  </r>
  <r>
    <s v="FL250325"/>
    <s v="Paula Stevens"/>
    <s v="Paula Stevens"/>
    <s v="FEMALE"/>
    <s v="Female"/>
    <n v="28"/>
    <x v="9"/>
    <x v="7"/>
    <x v="1"/>
    <n v="9"/>
    <x v="3"/>
    <n v="40"/>
    <n v="40"/>
    <x v="2"/>
    <m/>
    <n v="1"/>
    <x v="1"/>
    <n v="0.64"/>
    <n v="0.64"/>
  </r>
  <r>
    <s v="FL250326"/>
    <s v="Jennifer Allen"/>
    <s v="Jennifer Allen"/>
    <s v="FEMALE"/>
    <s v="Female"/>
    <n v="58"/>
    <x v="20"/>
    <x v="6"/>
    <x v="5"/>
    <n v="40"/>
    <x v="1"/>
    <n v="75"/>
    <n v="75"/>
    <x v="4"/>
    <n v="3.4"/>
    <n v="1"/>
    <x v="1"/>
    <n v="1"/>
    <n v="1"/>
  </r>
  <r>
    <s v="FL250327"/>
    <s v="Mark Hudson"/>
    <s v="Mark Hudson"/>
    <s v="male"/>
    <s v="Male"/>
    <n v="30"/>
    <x v="8"/>
    <x v="6"/>
    <x v="3"/>
    <n v="1"/>
    <x v="2"/>
    <n v="40"/>
    <n v="40"/>
    <x v="2"/>
    <n v="1.6"/>
    <b v="1"/>
    <x v="1"/>
    <n v="100"/>
    <n v="1"/>
  </r>
  <r>
    <s v="FL250328"/>
    <s v="Jessica Smith"/>
    <s v="Jessica Smith"/>
    <s v="FEMALE"/>
    <s v="Female"/>
    <n v="47"/>
    <x v="18"/>
    <x v="15"/>
    <x v="1"/>
    <n v="5"/>
    <x v="2"/>
    <n v="20"/>
    <n v="20"/>
    <x v="6"/>
    <n v="1.9"/>
    <n v="0"/>
    <x v="0"/>
    <m/>
    <m/>
  </r>
  <r>
    <s v="FL250329"/>
    <s v="Mike Dean"/>
    <s v="Mike Dean"/>
    <s v="male"/>
    <s v="Male"/>
    <n v="44"/>
    <x v="8"/>
    <x v="6"/>
    <x v="4"/>
    <n v="4"/>
    <x v="2"/>
    <n v="50"/>
    <s v="50"/>
    <x v="1"/>
    <n v="0"/>
    <b v="1"/>
    <x v="1"/>
    <n v="0.83"/>
    <n v="0.83"/>
  </r>
  <r>
    <s v="FL250330"/>
    <s v="Jose Wilson"/>
    <s v="Jose Wilson"/>
    <s v="m"/>
    <s v="Male"/>
    <n v="56"/>
    <x v="0"/>
    <x v="0"/>
    <x v="9"/>
    <n v="13"/>
    <x v="0"/>
    <s v="USD 40"/>
    <s v="40"/>
    <x v="2"/>
    <m/>
    <n v="1"/>
    <x v="1"/>
    <n v="0.87"/>
    <n v="0.87"/>
  </r>
  <r>
    <s v="FL250331"/>
    <s v="Tammy Hill"/>
    <s v="Tammy Hill"/>
    <s v="FEMALE"/>
    <s v="Female"/>
    <n v="53"/>
    <x v="5"/>
    <x v="1"/>
    <x v="1"/>
    <n v="33"/>
    <x v="1"/>
    <n v="100"/>
    <s v="100"/>
    <x v="0"/>
    <m/>
    <s v="no"/>
    <x v="0"/>
    <n v="0.75"/>
    <n v="0.75"/>
  </r>
  <r>
    <s v="FL250332"/>
    <s v="Nathaniel Flores"/>
    <s v="Nathaniel Flores"/>
    <s v="male"/>
    <s v="Male"/>
    <n v="59"/>
    <x v="7"/>
    <x v="1"/>
    <x v="1"/>
    <n v="22"/>
    <x v="1"/>
    <n v="40"/>
    <n v="40"/>
    <x v="2"/>
    <n v="1.1000000000000001"/>
    <s v="yes"/>
    <x v="1"/>
    <n v="0.61"/>
    <n v="0.61"/>
  </r>
  <r>
    <s v="FL250333"/>
    <s v="Edwin Carter"/>
    <s v="Edwin Carter"/>
    <s v="m"/>
    <s v="Male"/>
    <n v="60"/>
    <x v="5"/>
    <x v="1"/>
    <x v="8"/>
    <n v="34"/>
    <x v="1"/>
    <m/>
    <m/>
    <x v="5"/>
    <n v="2.5"/>
    <b v="0"/>
    <x v="0"/>
    <n v="0.93"/>
    <n v="0.93"/>
  </r>
  <r>
    <s v="FL250334"/>
    <s v="Patricia Miller"/>
    <s v="Patricia Miller"/>
    <s v="FEMALE"/>
    <s v="Female"/>
    <n v="33"/>
    <x v="2"/>
    <x v="2"/>
    <x v="1"/>
    <n v="8"/>
    <x v="3"/>
    <s v="USD 30"/>
    <s v="30"/>
    <x v="3"/>
    <n v="3.6"/>
    <n v="1"/>
    <x v="1"/>
    <m/>
    <m/>
  </r>
  <r>
    <s v="FL250335"/>
    <s v="Rebecca Schneider"/>
    <s v="Rebecca Schneider"/>
    <s v="FEMALE"/>
    <s v="Female"/>
    <n v="21"/>
    <x v="8"/>
    <x v="6"/>
    <x v="3"/>
    <n v="1"/>
    <x v="2"/>
    <s v="USD 20"/>
    <s v="20"/>
    <x v="6"/>
    <m/>
    <b v="0"/>
    <x v="0"/>
    <n v="0.99"/>
    <n v="0.99"/>
  </r>
  <r>
    <s v="FL250336"/>
    <s v="John Greene"/>
    <s v="John Greene"/>
    <s v="male"/>
    <s v="Male"/>
    <n v="54"/>
    <x v="7"/>
    <x v="1"/>
    <x v="6"/>
    <n v="20"/>
    <x v="4"/>
    <n v="50"/>
    <n v="50"/>
    <x v="1"/>
    <n v="4.4000000000000004"/>
    <n v="0"/>
    <x v="0"/>
    <n v="73"/>
    <n v="0.73"/>
  </r>
  <r>
    <s v="FL250337"/>
    <s v="Brittany Mcdowell"/>
    <s v="Brittany Mcdowell"/>
    <s v="FEMALE"/>
    <s v="Female"/>
    <n v="33"/>
    <x v="5"/>
    <x v="1"/>
    <x v="2"/>
    <n v="11"/>
    <x v="0"/>
    <n v="75"/>
    <n v="75"/>
    <x v="4"/>
    <n v="2.1"/>
    <n v="0"/>
    <x v="0"/>
    <n v="0.96"/>
    <n v="0.96"/>
  </r>
  <r>
    <s v="FL250338"/>
    <s v="Lori Miller"/>
    <s v="Lori Miller"/>
    <s v="FEMALE"/>
    <s v="Female"/>
    <n v="57"/>
    <x v="6"/>
    <x v="5"/>
    <x v="5"/>
    <n v="2"/>
    <x v="2"/>
    <n v="40"/>
    <n v="40"/>
    <x v="2"/>
    <n v="0"/>
    <b v="0"/>
    <x v="0"/>
    <n v="0.6"/>
    <n v="0.6"/>
  </r>
  <r>
    <s v="FL250339"/>
    <s v="Joseph Robinson"/>
    <s v="Joseph Robinson"/>
    <s v="m"/>
    <s v="Male"/>
    <n v="36"/>
    <x v="12"/>
    <x v="10"/>
    <x v="2"/>
    <n v="6"/>
    <x v="3"/>
    <n v="20"/>
    <n v="20"/>
    <x v="6"/>
    <n v="1"/>
    <s v="Y"/>
    <x v="1"/>
    <n v="0.64"/>
    <n v="0.64"/>
  </r>
  <r>
    <s v="FL250340"/>
    <s v="Aaron Pruitt"/>
    <s v="Aaron Pruitt"/>
    <s v="male"/>
    <s v="Male"/>
    <n v="50"/>
    <x v="2"/>
    <x v="2"/>
    <x v="0"/>
    <n v="20"/>
    <x v="4"/>
    <s v="USD 30"/>
    <s v="30"/>
    <x v="3"/>
    <n v="0"/>
    <n v="0"/>
    <x v="0"/>
    <m/>
    <m/>
  </r>
  <r>
    <s v="FL250341"/>
    <s v="Victoria Miller"/>
    <s v="Victoria Miller"/>
    <s v="f"/>
    <s v="Female"/>
    <n v="37"/>
    <x v="14"/>
    <x v="1"/>
    <x v="8"/>
    <m/>
    <x v="2"/>
    <s v="USD 20"/>
    <s v="20"/>
    <x v="6"/>
    <n v="4.9000000000000004"/>
    <s v="N"/>
    <x v="0"/>
    <m/>
    <m/>
  </r>
  <r>
    <s v="FL250342"/>
    <s v="Clarence Vega"/>
    <s v="Clarence Vega"/>
    <s v="m"/>
    <s v="Male"/>
    <n v="53"/>
    <x v="0"/>
    <x v="0"/>
    <x v="4"/>
    <n v="4"/>
    <x v="2"/>
    <n v="30"/>
    <n v="30"/>
    <x v="3"/>
    <n v="4.7"/>
    <s v="no"/>
    <x v="0"/>
    <n v="0.99"/>
    <n v="0.99"/>
  </r>
  <r>
    <s v="FL250343"/>
    <s v="Deborah Day"/>
    <s v="Deborah Day"/>
    <s v="FEMALE"/>
    <s v="Female"/>
    <n v="22"/>
    <x v="0"/>
    <x v="0"/>
    <x v="0"/>
    <n v="3"/>
    <x v="2"/>
    <s v="USD 40"/>
    <s v="40"/>
    <x v="2"/>
    <n v="2.1"/>
    <n v="0"/>
    <x v="0"/>
    <m/>
    <m/>
  </r>
  <r>
    <s v="FL250344"/>
    <s v="Nicole Rocha"/>
    <s v="Nicole Rocha"/>
    <s v="FEMALE"/>
    <s v="Female"/>
    <n v="55"/>
    <x v="3"/>
    <x v="3"/>
    <x v="1"/>
    <n v="33"/>
    <x v="1"/>
    <n v="40"/>
    <n v="40"/>
    <x v="2"/>
    <n v="1.5"/>
    <s v="Y"/>
    <x v="1"/>
    <n v="0.71"/>
    <n v="0.71"/>
  </r>
  <r>
    <s v="FL250345"/>
    <s v="Elijah Green"/>
    <s v="Elijah Green"/>
    <s v="male"/>
    <s v="Male"/>
    <n v="22"/>
    <x v="1"/>
    <x v="1"/>
    <x v="7"/>
    <n v="1"/>
    <x v="2"/>
    <m/>
    <m/>
    <x v="5"/>
    <n v="2.6"/>
    <n v="0"/>
    <x v="0"/>
    <n v="0.72"/>
    <n v="0.72"/>
  </r>
  <r>
    <s v="FL250346"/>
    <s v="Emily Johnson"/>
    <s v="Emily Johnson"/>
    <s v="f"/>
    <s v="Female"/>
    <n v="45"/>
    <x v="6"/>
    <x v="5"/>
    <x v="3"/>
    <n v="23"/>
    <x v="1"/>
    <s v="USD 50"/>
    <s v="50"/>
    <x v="1"/>
    <n v="0"/>
    <n v="0"/>
    <x v="0"/>
    <n v="0.66"/>
    <n v="0.66"/>
  </r>
  <r>
    <s v="FL250347"/>
    <s v="Richard Velasquez Jr."/>
    <s v="Richard Velasquez Jr."/>
    <s v="m"/>
    <s v="Male"/>
    <n v="36"/>
    <x v="15"/>
    <x v="12"/>
    <x v="5"/>
    <n v="13"/>
    <x v="0"/>
    <n v="40"/>
    <n v="40"/>
    <x v="2"/>
    <m/>
    <s v="N"/>
    <x v="0"/>
    <n v="0.78"/>
    <n v="0.78"/>
  </r>
  <r>
    <s v="FL250348"/>
    <s v="Kurt Wilson"/>
    <s v="Kurt Wilson"/>
    <s v="m"/>
    <s v="Male"/>
    <n v="23"/>
    <x v="1"/>
    <x v="1"/>
    <x v="8"/>
    <n v="1"/>
    <x v="2"/>
    <s v="USD 20"/>
    <s v="20"/>
    <x v="6"/>
    <n v="4"/>
    <s v="Y"/>
    <x v="1"/>
    <n v="100"/>
    <n v="1"/>
  </r>
  <r>
    <s v="FL250349"/>
    <s v="Jeremiah Rodriguez"/>
    <s v="Jeremiah Rodriguez"/>
    <s v="m"/>
    <s v="Male"/>
    <n v="55"/>
    <x v="0"/>
    <x v="0"/>
    <x v="8"/>
    <n v="15"/>
    <x v="0"/>
    <n v="40"/>
    <n v="40"/>
    <x v="2"/>
    <n v="4.5"/>
    <m/>
    <x v="2"/>
    <m/>
    <m/>
  </r>
  <r>
    <s v="FL250350"/>
    <s v="Lauren Lang"/>
    <s v="Lauren Lang"/>
    <s v="f"/>
    <s v="Female"/>
    <n v="50"/>
    <x v="11"/>
    <x v="9"/>
    <x v="1"/>
    <n v="18"/>
    <x v="4"/>
    <n v="75"/>
    <n v="75"/>
    <x v="4"/>
    <n v="3.8"/>
    <n v="0"/>
    <x v="0"/>
    <n v="67"/>
    <n v="0.67"/>
  </r>
  <r>
    <s v="FL250351"/>
    <s v="Matthew Phillips"/>
    <s v="Matthew Phillips"/>
    <s v="male"/>
    <s v="Male"/>
    <n v="48"/>
    <x v="5"/>
    <x v="1"/>
    <x v="9"/>
    <n v="21"/>
    <x v="1"/>
    <n v="50"/>
    <n v="50"/>
    <x v="1"/>
    <n v="4"/>
    <n v="0"/>
    <x v="0"/>
    <n v="0.78"/>
    <n v="0.78"/>
  </r>
  <r>
    <s v="FL250352"/>
    <s v="Michael Andersen"/>
    <s v="Michael Andersen"/>
    <s v="male"/>
    <s v="Male"/>
    <n v="23"/>
    <x v="3"/>
    <x v="3"/>
    <x v="8"/>
    <n v="1"/>
    <x v="2"/>
    <n v="40"/>
    <s v="40"/>
    <x v="2"/>
    <n v="4.9000000000000004"/>
    <s v="yes"/>
    <x v="1"/>
    <n v="0.78"/>
    <n v="0.78"/>
  </r>
  <r>
    <s v="FL250353"/>
    <s v="Amanda Mayo"/>
    <s v="Amanda Mayo"/>
    <s v="f"/>
    <s v="Female"/>
    <n v="49"/>
    <x v="14"/>
    <x v="1"/>
    <x v="3"/>
    <n v="25"/>
    <x v="1"/>
    <n v="30"/>
    <s v="30"/>
    <x v="3"/>
    <n v="3.4"/>
    <n v="0"/>
    <x v="0"/>
    <n v="0.75"/>
    <n v="0.75"/>
  </r>
  <r>
    <s v="FL250354"/>
    <s v="Jessica Vance"/>
    <s v="Jessica Vance"/>
    <s v="f"/>
    <s v="Female"/>
    <n v="47"/>
    <x v="0"/>
    <x v="0"/>
    <x v="7"/>
    <n v="12"/>
    <x v="0"/>
    <n v="50"/>
    <n v="50"/>
    <x v="1"/>
    <n v="2.1"/>
    <b v="1"/>
    <x v="1"/>
    <n v="0.67"/>
    <n v="0.67"/>
  </r>
  <r>
    <s v="FL250355"/>
    <s v="Alexa Gallegos"/>
    <s v="Alexa Gallegos"/>
    <s v="FEMALE"/>
    <s v="Female"/>
    <n v="56"/>
    <x v="9"/>
    <x v="7"/>
    <x v="2"/>
    <n v="32"/>
    <x v="1"/>
    <s v="USD 40"/>
    <s v="40"/>
    <x v="2"/>
    <n v="0"/>
    <n v="1"/>
    <x v="1"/>
    <n v="0.86"/>
    <n v="0.86"/>
  </r>
  <r>
    <s v="FL250356"/>
    <s v="Charles Pratt"/>
    <s v="Charles Pratt"/>
    <s v="male"/>
    <s v="Male"/>
    <n v="58"/>
    <x v="8"/>
    <x v="6"/>
    <x v="6"/>
    <m/>
    <x v="2"/>
    <n v="100"/>
    <n v="100"/>
    <x v="0"/>
    <n v="4.5"/>
    <s v="no"/>
    <x v="0"/>
    <n v="77"/>
    <n v="0.77"/>
  </r>
  <r>
    <s v="FL250357"/>
    <s v="Brian Baker"/>
    <s v="Brian Baker"/>
    <s v="m"/>
    <s v="Male"/>
    <n v="32"/>
    <x v="12"/>
    <x v="10"/>
    <x v="6"/>
    <n v="10"/>
    <x v="3"/>
    <n v="30"/>
    <s v="30"/>
    <x v="3"/>
    <n v="3.8"/>
    <n v="0"/>
    <x v="0"/>
    <n v="0.61"/>
    <n v="0.61"/>
  </r>
  <r>
    <s v="FL250358"/>
    <s v="Christina Norman"/>
    <s v="Christina Norman"/>
    <s v="FEMALE"/>
    <s v="Female"/>
    <n v="52"/>
    <x v="10"/>
    <x v="8"/>
    <x v="6"/>
    <n v="0"/>
    <x v="2"/>
    <m/>
    <m/>
    <x v="5"/>
    <n v="4.3"/>
    <n v="0"/>
    <x v="0"/>
    <n v="0.9"/>
    <n v="0.9"/>
  </r>
  <r>
    <s v="FL250359"/>
    <s v="Laura Kelly"/>
    <s v="Laura Kelly"/>
    <s v="FEMALE"/>
    <s v="Female"/>
    <n v="22"/>
    <x v="18"/>
    <x v="15"/>
    <x v="5"/>
    <n v="1"/>
    <x v="2"/>
    <n v="50"/>
    <n v="50"/>
    <x v="1"/>
    <n v="0"/>
    <m/>
    <x v="2"/>
    <n v="0.98"/>
    <n v="0.98"/>
  </r>
  <r>
    <s v="FL250360"/>
    <s v="John Webb"/>
    <s v="John Webb"/>
    <s v="male"/>
    <s v="Male"/>
    <n v="20"/>
    <x v="10"/>
    <x v="8"/>
    <x v="7"/>
    <n v="2"/>
    <x v="2"/>
    <n v="30"/>
    <n v="30"/>
    <x v="3"/>
    <m/>
    <n v="1"/>
    <x v="1"/>
    <n v="0.99"/>
    <n v="0.99"/>
  </r>
  <r>
    <s v="FL250361"/>
    <s v="Christopher Burton"/>
    <s v="Christopher Burton"/>
    <s v="m"/>
    <s v="Male"/>
    <n v="56"/>
    <x v="3"/>
    <x v="3"/>
    <x v="5"/>
    <n v="9"/>
    <x v="3"/>
    <s v="USD 40"/>
    <s v="40"/>
    <x v="2"/>
    <n v="2.6"/>
    <n v="0"/>
    <x v="0"/>
    <n v="0.61"/>
    <n v="0.61"/>
  </r>
  <r>
    <s v="FL250362"/>
    <s v="Bradley Aguilar"/>
    <s v="Bradley Aguilar"/>
    <s v="male"/>
    <s v="Male"/>
    <n v="41"/>
    <x v="9"/>
    <x v="7"/>
    <x v="5"/>
    <n v="22"/>
    <x v="1"/>
    <s v="USD 50"/>
    <s v="50"/>
    <x v="1"/>
    <n v="1.6"/>
    <n v="1"/>
    <x v="1"/>
    <n v="0.61"/>
    <n v="0.61"/>
  </r>
  <r>
    <s v="FL250363"/>
    <s v="Arthur Vasquez"/>
    <s v="Arthur Vasquez"/>
    <s v="male"/>
    <s v="Male"/>
    <n v="25"/>
    <x v="8"/>
    <x v="6"/>
    <x v="0"/>
    <n v="5"/>
    <x v="2"/>
    <n v="30"/>
    <s v="30"/>
    <x v="3"/>
    <n v="2.2999999999999998"/>
    <n v="0"/>
    <x v="0"/>
    <n v="0.91"/>
    <n v="0.91"/>
  </r>
  <r>
    <s v="FL250364"/>
    <s v="Angela Castro"/>
    <s v="Angela Castro"/>
    <s v="FEMALE"/>
    <s v="Female"/>
    <n v="44"/>
    <x v="14"/>
    <x v="1"/>
    <x v="7"/>
    <n v="6"/>
    <x v="3"/>
    <n v="75"/>
    <n v="75"/>
    <x v="4"/>
    <n v="4.5999999999999996"/>
    <s v="Y"/>
    <x v="1"/>
    <n v="72"/>
    <n v="0.72"/>
  </r>
  <r>
    <s v="FL250365"/>
    <s v="Summer Yoder"/>
    <s v="Summer Yoder"/>
    <s v="FEMALE"/>
    <s v="Female"/>
    <n v="46"/>
    <x v="1"/>
    <x v="1"/>
    <x v="3"/>
    <n v="26"/>
    <x v="1"/>
    <n v="100"/>
    <s v="100"/>
    <x v="0"/>
    <n v="2.1"/>
    <m/>
    <x v="2"/>
    <m/>
    <m/>
  </r>
  <r>
    <s v="FL250366"/>
    <s v="Jackie Allen"/>
    <s v="Jackie Allen"/>
    <s v="FEMALE"/>
    <s v="Female"/>
    <n v="40"/>
    <x v="12"/>
    <x v="10"/>
    <x v="0"/>
    <m/>
    <x v="2"/>
    <n v="40"/>
    <n v="40"/>
    <x v="2"/>
    <n v="1.5"/>
    <b v="0"/>
    <x v="0"/>
    <n v="0.96"/>
    <n v="0.96"/>
  </r>
  <r>
    <s v="FL250367"/>
    <s v="Brandon Williams"/>
    <s v="Brandon Williams"/>
    <s v="male"/>
    <s v="Male"/>
    <m/>
    <x v="18"/>
    <x v="15"/>
    <x v="4"/>
    <n v="9"/>
    <x v="3"/>
    <s v="USD 40"/>
    <s v="40"/>
    <x v="2"/>
    <n v="1.7"/>
    <n v="1"/>
    <x v="1"/>
    <n v="72"/>
    <n v="0.72"/>
  </r>
  <r>
    <s v="FL250368"/>
    <s v="Manuel Torres"/>
    <s v="Manuel Torres"/>
    <s v="m"/>
    <s v="Male"/>
    <n v="31"/>
    <x v="9"/>
    <x v="7"/>
    <x v="5"/>
    <n v="11"/>
    <x v="0"/>
    <m/>
    <m/>
    <x v="5"/>
    <n v="3.3"/>
    <n v="0"/>
    <x v="0"/>
    <m/>
    <m/>
  </r>
  <r>
    <s v="FL250369"/>
    <s v="Scott Keller"/>
    <s v="Scott Keller"/>
    <s v="m"/>
    <s v="Male"/>
    <n v="33"/>
    <x v="12"/>
    <x v="10"/>
    <x v="9"/>
    <m/>
    <x v="2"/>
    <n v="40"/>
    <s v="40"/>
    <x v="2"/>
    <n v="4.3"/>
    <n v="1"/>
    <x v="1"/>
    <n v="0.63"/>
    <n v="0.63"/>
  </r>
  <r>
    <s v="FL250370"/>
    <s v="Deborah Brown"/>
    <s v="Deborah Brown"/>
    <s v="FEMALE"/>
    <s v="Female"/>
    <n v="31"/>
    <x v="11"/>
    <x v="9"/>
    <x v="9"/>
    <n v="3"/>
    <x v="2"/>
    <n v="20"/>
    <s v="20"/>
    <x v="6"/>
    <m/>
    <s v="N"/>
    <x v="0"/>
    <m/>
    <m/>
  </r>
  <r>
    <s v="FL250371"/>
    <s v="Jennifer Lara"/>
    <s v="Jennifer Lara"/>
    <s v="f"/>
    <s v="Female"/>
    <n v="49"/>
    <x v="0"/>
    <x v="0"/>
    <x v="5"/>
    <n v="15"/>
    <x v="0"/>
    <s v="USD 75"/>
    <s v="75"/>
    <x v="4"/>
    <n v="2.6"/>
    <s v="N"/>
    <x v="0"/>
    <n v="0.83"/>
    <n v="0.83"/>
  </r>
  <r>
    <s v="FL250372"/>
    <s v="Jason Scott"/>
    <s v="Jason Scott"/>
    <s v="male"/>
    <s v="Male"/>
    <n v="35"/>
    <x v="19"/>
    <x v="6"/>
    <x v="2"/>
    <n v="12"/>
    <x v="0"/>
    <s v="USD 20"/>
    <s v="20"/>
    <x v="6"/>
    <n v="4.0999999999999996"/>
    <m/>
    <x v="2"/>
    <n v="0.94"/>
    <n v="0.94"/>
  </r>
  <r>
    <s v="FL250373"/>
    <s v="Gregory Garrison"/>
    <s v="Gregory Garrison"/>
    <s v="m"/>
    <s v="Male"/>
    <n v="45"/>
    <x v="10"/>
    <x v="8"/>
    <x v="5"/>
    <n v="19"/>
    <x v="4"/>
    <n v="40"/>
    <s v="40"/>
    <x v="2"/>
    <n v="2.2000000000000002"/>
    <n v="1"/>
    <x v="1"/>
    <n v="0.78"/>
    <n v="0.78"/>
  </r>
  <r>
    <s v="FL250374"/>
    <s v="Chelsea Anderson"/>
    <s v="Chelsea Anderson"/>
    <s v="FEMALE"/>
    <s v="Female"/>
    <n v="39"/>
    <x v="3"/>
    <x v="3"/>
    <x v="5"/>
    <n v="13"/>
    <x v="0"/>
    <n v="30"/>
    <n v="30"/>
    <x v="3"/>
    <n v="1.1000000000000001"/>
    <n v="1"/>
    <x v="1"/>
    <m/>
    <m/>
  </r>
  <r>
    <s v="FL250375"/>
    <s v="Gerald Johnson"/>
    <s v="Gerald Johnson"/>
    <s v="male"/>
    <s v="Male"/>
    <m/>
    <x v="8"/>
    <x v="6"/>
    <x v="0"/>
    <m/>
    <x v="2"/>
    <n v="50"/>
    <s v="50"/>
    <x v="1"/>
    <n v="2.1"/>
    <n v="1"/>
    <x v="1"/>
    <n v="0.82"/>
    <n v="0.82"/>
  </r>
  <r>
    <s v="FL250376"/>
    <s v="Kevin Ellis"/>
    <s v="Kevin Ellis"/>
    <s v="male"/>
    <s v="Male"/>
    <n v="24"/>
    <x v="2"/>
    <x v="2"/>
    <x v="7"/>
    <n v="3"/>
    <x v="2"/>
    <n v="30"/>
    <s v="30"/>
    <x v="3"/>
    <n v="2.2999999999999998"/>
    <b v="0"/>
    <x v="0"/>
    <n v="0.66"/>
    <n v="0.66"/>
  </r>
  <r>
    <s v="FL250377"/>
    <s v="Mitchell Keller"/>
    <s v="Mitchell Keller"/>
    <s v="male"/>
    <s v="Male"/>
    <n v="50"/>
    <x v="1"/>
    <x v="1"/>
    <x v="2"/>
    <n v="26"/>
    <x v="1"/>
    <m/>
    <m/>
    <x v="5"/>
    <n v="3.6"/>
    <n v="1"/>
    <x v="1"/>
    <n v="82"/>
    <n v="0.82"/>
  </r>
  <r>
    <s v="FL250378"/>
    <s v="Mary Brown"/>
    <s v="Mary Brown"/>
    <s v="FEMALE"/>
    <s v="Female"/>
    <n v="23"/>
    <x v="2"/>
    <x v="2"/>
    <x v="9"/>
    <n v="4"/>
    <x v="2"/>
    <s v="USD 20"/>
    <s v="20"/>
    <x v="6"/>
    <n v="4.7"/>
    <b v="1"/>
    <x v="1"/>
    <n v="0.84"/>
    <n v="0.84"/>
  </r>
  <r>
    <s v="FL250379"/>
    <s v="Ronald Walls"/>
    <s v="Ronald Walls"/>
    <s v="male"/>
    <s v="Male"/>
    <n v="27"/>
    <x v="14"/>
    <x v="1"/>
    <x v="7"/>
    <n v="8"/>
    <x v="3"/>
    <n v="20"/>
    <n v="20"/>
    <x v="6"/>
    <n v="4.8"/>
    <s v="N"/>
    <x v="0"/>
    <n v="0.81"/>
    <n v="0.81"/>
  </r>
  <r>
    <s v="FL250380"/>
    <s v="Anthony Avila"/>
    <s v="Anthony Avila"/>
    <s v="male"/>
    <s v="Male"/>
    <n v="58"/>
    <x v="17"/>
    <x v="14"/>
    <x v="4"/>
    <n v="10"/>
    <x v="3"/>
    <n v="75"/>
    <n v="75"/>
    <x v="4"/>
    <n v="4.2"/>
    <s v="N"/>
    <x v="0"/>
    <n v="71"/>
    <n v="0.71"/>
  </r>
  <r>
    <s v="FL250381"/>
    <s v="Douglas Goodwin"/>
    <s v="Douglas Goodwin"/>
    <s v="m"/>
    <s v="Male"/>
    <n v="37"/>
    <x v="0"/>
    <x v="0"/>
    <x v="9"/>
    <n v="5"/>
    <x v="2"/>
    <m/>
    <m/>
    <x v="5"/>
    <n v="4.8"/>
    <n v="1"/>
    <x v="1"/>
    <n v="0.61"/>
    <n v="0.61"/>
  </r>
  <r>
    <s v="FL250382"/>
    <s v="James Mills"/>
    <s v="James Mills"/>
    <s v="male"/>
    <s v="Male"/>
    <n v="39"/>
    <x v="20"/>
    <x v="6"/>
    <x v="0"/>
    <n v="18"/>
    <x v="4"/>
    <n v="75"/>
    <n v="75"/>
    <x v="4"/>
    <n v="4"/>
    <n v="1"/>
    <x v="1"/>
    <n v="0.66"/>
    <n v="0.66"/>
  </r>
  <r>
    <s v="FL250383"/>
    <s v="Nicole Marks"/>
    <s v="Nicole Marks"/>
    <s v="FEMALE"/>
    <s v="Female"/>
    <n v="46"/>
    <x v="16"/>
    <x v="13"/>
    <x v="5"/>
    <n v="10"/>
    <x v="3"/>
    <n v="20"/>
    <s v="20"/>
    <x v="6"/>
    <n v="2.5"/>
    <b v="1"/>
    <x v="1"/>
    <n v="0.97"/>
    <n v="0.97"/>
  </r>
  <r>
    <s v="FL250384"/>
    <s v="Phyllis Dawson"/>
    <s v="Phyllis Dawson"/>
    <s v="FEMALE"/>
    <s v="Female"/>
    <m/>
    <x v="7"/>
    <x v="1"/>
    <x v="6"/>
    <n v="0"/>
    <x v="2"/>
    <s v="USD 20"/>
    <s v="20"/>
    <x v="6"/>
    <n v="4.8"/>
    <n v="0"/>
    <x v="0"/>
    <n v="0.74"/>
    <n v="0.74"/>
  </r>
  <r>
    <s v="FL250385"/>
    <s v="Renee Arnold"/>
    <s v="Renee Arnold"/>
    <s v="f"/>
    <s v="Female"/>
    <n v="39"/>
    <x v="19"/>
    <x v="6"/>
    <x v="0"/>
    <n v="21"/>
    <x v="1"/>
    <n v="30"/>
    <n v="30"/>
    <x v="3"/>
    <n v="4.7"/>
    <b v="0"/>
    <x v="0"/>
    <n v="0.61"/>
    <n v="0.61"/>
  </r>
  <r>
    <s v="FL250386"/>
    <s v="Eric Robinson"/>
    <s v="Eric Robinson"/>
    <s v="m"/>
    <s v="Male"/>
    <n v="59"/>
    <x v="16"/>
    <x v="13"/>
    <x v="0"/>
    <n v="25"/>
    <x v="1"/>
    <n v="20"/>
    <n v="20"/>
    <x v="6"/>
    <n v="4"/>
    <n v="0"/>
    <x v="0"/>
    <n v="0.9"/>
    <n v="0.9"/>
  </r>
  <r>
    <s v="FL250387"/>
    <s v="Paul Brown"/>
    <s v="Paul Brown"/>
    <s v="m"/>
    <s v="Male"/>
    <n v="21"/>
    <x v="3"/>
    <x v="3"/>
    <x v="8"/>
    <n v="0"/>
    <x v="2"/>
    <n v="40"/>
    <s v="40"/>
    <x v="2"/>
    <n v="4.0999999999999996"/>
    <s v="Y"/>
    <x v="1"/>
    <n v="0.97"/>
    <n v="0.97"/>
  </r>
  <r>
    <s v="FL250388"/>
    <s v="Sarah Proctor"/>
    <s v="Sarah Proctor"/>
    <s v="FEMALE"/>
    <s v="Female"/>
    <n v="23"/>
    <x v="14"/>
    <x v="1"/>
    <x v="8"/>
    <n v="5"/>
    <x v="2"/>
    <n v="100"/>
    <n v="100"/>
    <x v="0"/>
    <n v="3.2"/>
    <n v="1"/>
    <x v="1"/>
    <m/>
    <m/>
  </r>
  <r>
    <s v="FL250389"/>
    <s v="Matthew Hicks"/>
    <s v="Matthew Hicks"/>
    <s v="m"/>
    <s v="Male"/>
    <n v="27"/>
    <x v="16"/>
    <x v="13"/>
    <x v="3"/>
    <n v="1"/>
    <x v="2"/>
    <n v="20"/>
    <n v="20"/>
    <x v="6"/>
    <n v="4.3"/>
    <s v="N"/>
    <x v="0"/>
    <n v="0.76"/>
    <n v="0.76"/>
  </r>
  <r>
    <s v="FL250390"/>
    <s v="Christopher Black"/>
    <s v="Christopher Black"/>
    <s v="m"/>
    <s v="Male"/>
    <n v="27"/>
    <x v="18"/>
    <x v="15"/>
    <x v="7"/>
    <n v="4"/>
    <x v="2"/>
    <n v="40"/>
    <n v="40"/>
    <x v="2"/>
    <n v="4.4000000000000004"/>
    <n v="0"/>
    <x v="0"/>
    <n v="0.92"/>
    <n v="0.92"/>
  </r>
  <r>
    <s v="FL250391"/>
    <s v="Joanne Reyes"/>
    <s v="Joanne Reyes"/>
    <s v="f"/>
    <s v="Female"/>
    <n v="48"/>
    <x v="17"/>
    <x v="14"/>
    <x v="5"/>
    <n v="21"/>
    <x v="1"/>
    <n v="40"/>
    <n v="40"/>
    <x v="2"/>
    <n v="2.2999999999999998"/>
    <n v="0"/>
    <x v="0"/>
    <m/>
    <m/>
  </r>
  <r>
    <s v="FL250392"/>
    <s v="Isaac Gray"/>
    <s v="Isaac Gray"/>
    <s v="male"/>
    <s v="Male"/>
    <n v="21"/>
    <x v="17"/>
    <x v="14"/>
    <x v="4"/>
    <n v="1"/>
    <x v="2"/>
    <n v="20"/>
    <s v="20"/>
    <x v="6"/>
    <n v="2.4"/>
    <n v="1"/>
    <x v="1"/>
    <n v="0.66"/>
    <n v="0.66"/>
  </r>
  <r>
    <s v="FL250393"/>
    <s v="Joshua Roberts"/>
    <s v="Joshua Roberts"/>
    <s v="m"/>
    <s v="Male"/>
    <n v="37"/>
    <x v="0"/>
    <x v="0"/>
    <x v="8"/>
    <m/>
    <x v="2"/>
    <n v="50"/>
    <n v="50"/>
    <x v="1"/>
    <n v="4.5999999999999996"/>
    <n v="0"/>
    <x v="0"/>
    <n v="0.83"/>
    <n v="0.83"/>
  </r>
  <r>
    <s v="FL250394"/>
    <s v="Elizabeth Estrada"/>
    <s v="Elizabeth Estrada"/>
    <s v="f"/>
    <s v="Female"/>
    <n v="31"/>
    <x v="2"/>
    <x v="2"/>
    <x v="6"/>
    <n v="10"/>
    <x v="3"/>
    <n v="50"/>
    <n v="50"/>
    <x v="1"/>
    <n v="0"/>
    <s v="no"/>
    <x v="0"/>
    <m/>
    <m/>
  </r>
  <r>
    <s v="FL250395"/>
    <s v="Lori Malone"/>
    <s v="Lori Malone"/>
    <s v="f"/>
    <s v="Female"/>
    <n v="41"/>
    <x v="16"/>
    <x v="13"/>
    <x v="0"/>
    <n v="21"/>
    <x v="1"/>
    <m/>
    <m/>
    <x v="5"/>
    <n v="0"/>
    <s v="Y"/>
    <x v="1"/>
    <m/>
    <m/>
  </r>
  <r>
    <s v="FL250396"/>
    <s v="Anthony Huynh MD"/>
    <s v="Anthony Huynh MD"/>
    <s v="male"/>
    <s v="Male"/>
    <n v="31"/>
    <x v="13"/>
    <x v="11"/>
    <x v="7"/>
    <n v="0"/>
    <x v="2"/>
    <n v="20"/>
    <s v="20"/>
    <x v="6"/>
    <n v="4.2"/>
    <s v="Y"/>
    <x v="1"/>
    <n v="82"/>
    <n v="0.82"/>
  </r>
  <r>
    <s v="FL250397"/>
    <s v="Mindy York"/>
    <s v="Mindy York"/>
    <s v="FEMALE"/>
    <s v="Female"/>
    <n v="58"/>
    <x v="8"/>
    <x v="6"/>
    <x v="5"/>
    <n v="0"/>
    <x v="2"/>
    <n v="50"/>
    <n v="50"/>
    <x v="1"/>
    <n v="2.2999999999999998"/>
    <n v="0"/>
    <x v="0"/>
    <n v="0.77"/>
    <n v="0.77"/>
  </r>
  <r>
    <s v="FL250398"/>
    <s v="Ms. Christine Cherry"/>
    <s v="Christine Cherry"/>
    <s v="f"/>
    <s v="Female"/>
    <n v="45"/>
    <x v="3"/>
    <x v="3"/>
    <x v="5"/>
    <n v="17"/>
    <x v="4"/>
    <n v="50"/>
    <s v="50"/>
    <x v="1"/>
    <n v="4.7"/>
    <n v="1"/>
    <x v="1"/>
    <n v="0.73"/>
    <n v="0.73"/>
  </r>
  <r>
    <s v="FL250399"/>
    <s v="Daniel Foster"/>
    <s v="Daniel Foster"/>
    <s v="m"/>
    <s v="Male"/>
    <n v="51"/>
    <x v="12"/>
    <x v="10"/>
    <x v="7"/>
    <n v="5"/>
    <x v="2"/>
    <m/>
    <m/>
    <x v="5"/>
    <n v="3"/>
    <n v="1"/>
    <x v="1"/>
    <n v="0.88"/>
    <n v="0.88"/>
  </r>
  <r>
    <s v="FL250400"/>
    <s v="Mr. David Valencia"/>
    <s v="David Valencia"/>
    <s v="male"/>
    <s v="Male"/>
    <n v="54"/>
    <x v="5"/>
    <x v="1"/>
    <x v="6"/>
    <n v="3"/>
    <x v="2"/>
    <s v="USD 30"/>
    <s v="30"/>
    <x v="3"/>
    <n v="2.4"/>
    <n v="0"/>
    <x v="0"/>
    <n v="0.81"/>
    <n v="0.81"/>
  </r>
  <r>
    <s v="FL250401"/>
    <s v="Ethan Adams"/>
    <s v="Ethan Adams"/>
    <s v="m"/>
    <s v="Male"/>
    <n v="22"/>
    <x v="13"/>
    <x v="11"/>
    <x v="5"/>
    <n v="1"/>
    <x v="2"/>
    <n v="20"/>
    <n v="20"/>
    <x v="6"/>
    <n v="1.7"/>
    <s v="N"/>
    <x v="0"/>
    <n v="0.78"/>
    <n v="0.78"/>
  </r>
  <r>
    <s v="FL250402"/>
    <s v="Brett Moore"/>
    <s v="Brett Moore"/>
    <s v="m"/>
    <s v="Male"/>
    <n v="36"/>
    <x v="6"/>
    <x v="5"/>
    <x v="7"/>
    <n v="2"/>
    <x v="2"/>
    <n v="75"/>
    <n v="75"/>
    <x v="4"/>
    <n v="0"/>
    <b v="0"/>
    <x v="0"/>
    <n v="0.92"/>
    <n v="0.92"/>
  </r>
  <r>
    <s v="FL250403"/>
    <s v="Phillip Griffin"/>
    <s v="Phillip Griffin"/>
    <s v="male"/>
    <s v="Male"/>
    <n v="50"/>
    <x v="2"/>
    <x v="2"/>
    <x v="8"/>
    <n v="32"/>
    <x v="1"/>
    <n v="30"/>
    <s v="30"/>
    <x v="3"/>
    <m/>
    <n v="0"/>
    <x v="0"/>
    <n v="0.64"/>
    <n v="0.64"/>
  </r>
  <r>
    <s v="FL250404"/>
    <s v="Stacie Wall"/>
    <s v="Stacie Wall"/>
    <s v="FEMALE"/>
    <s v="Female"/>
    <n v="41"/>
    <x v="1"/>
    <x v="1"/>
    <x v="0"/>
    <n v="14"/>
    <x v="0"/>
    <n v="30"/>
    <n v="30"/>
    <x v="3"/>
    <n v="0"/>
    <s v="Y"/>
    <x v="1"/>
    <n v="0.78"/>
    <n v="0.78"/>
  </r>
  <r>
    <s v="FL250405"/>
    <s v="Jacob Austin"/>
    <s v="Jacob Austin"/>
    <s v="m"/>
    <s v="Male"/>
    <m/>
    <x v="17"/>
    <x v="14"/>
    <x v="3"/>
    <n v="10"/>
    <x v="3"/>
    <n v="20"/>
    <n v="20"/>
    <x v="6"/>
    <n v="1.8"/>
    <s v="yes"/>
    <x v="1"/>
    <n v="85"/>
    <n v="0.85"/>
  </r>
  <r>
    <s v="FL250406"/>
    <s v="Sabrina Davidson"/>
    <s v="Sabrina Davidson"/>
    <s v="FEMALE"/>
    <s v="Female"/>
    <n v="51"/>
    <x v="3"/>
    <x v="3"/>
    <x v="7"/>
    <n v="27"/>
    <x v="1"/>
    <n v="50"/>
    <s v="50"/>
    <x v="1"/>
    <n v="0"/>
    <s v="no"/>
    <x v="0"/>
    <n v="0.78"/>
    <n v="0.78"/>
  </r>
  <r>
    <s v="FL250407"/>
    <s v="Dustin Douglas"/>
    <s v="Dustin Douglas"/>
    <s v="male"/>
    <s v="Male"/>
    <n v="21"/>
    <x v="15"/>
    <x v="12"/>
    <x v="4"/>
    <n v="2"/>
    <x v="2"/>
    <n v="30"/>
    <s v="30"/>
    <x v="3"/>
    <n v="3.8"/>
    <n v="1"/>
    <x v="1"/>
    <n v="0.98"/>
    <n v="0.98"/>
  </r>
  <r>
    <s v="FL250408"/>
    <s v="Steven Norris"/>
    <s v="Steven Norris"/>
    <s v="male"/>
    <s v="Male"/>
    <n v="51"/>
    <x v="9"/>
    <x v="7"/>
    <x v="4"/>
    <n v="33"/>
    <x v="1"/>
    <s v="USD 40"/>
    <s v="40"/>
    <x v="2"/>
    <n v="0"/>
    <s v="Y"/>
    <x v="1"/>
    <n v="0.63"/>
    <n v="0.63"/>
  </r>
  <r>
    <s v="FL250409"/>
    <s v="Mindy Sullivan"/>
    <s v="Mindy Sullivan"/>
    <s v="FEMALE"/>
    <s v="Female"/>
    <n v="37"/>
    <x v="4"/>
    <x v="4"/>
    <x v="2"/>
    <n v="11"/>
    <x v="0"/>
    <s v="USD 40"/>
    <s v="40"/>
    <x v="2"/>
    <n v="3.6"/>
    <s v="N"/>
    <x v="0"/>
    <n v="0.73"/>
    <n v="0.73"/>
  </r>
  <r>
    <s v="FL250410"/>
    <s v="Elizabeth Stone"/>
    <s v="Elizabeth Stone"/>
    <s v="f"/>
    <s v="Female"/>
    <n v="20"/>
    <x v="20"/>
    <x v="6"/>
    <x v="2"/>
    <n v="2"/>
    <x v="2"/>
    <n v="30"/>
    <n v="30"/>
    <x v="3"/>
    <n v="0"/>
    <n v="0"/>
    <x v="0"/>
    <n v="0.94"/>
    <n v="0.94"/>
  </r>
  <r>
    <s v="FL250411"/>
    <s v="Diane Flores"/>
    <s v="Diane Flores"/>
    <s v="FEMALE"/>
    <s v="Female"/>
    <n v="50"/>
    <x v="1"/>
    <x v="1"/>
    <x v="3"/>
    <n v="31"/>
    <x v="1"/>
    <n v="50"/>
    <s v="50"/>
    <x v="1"/>
    <n v="4.0999999999999996"/>
    <m/>
    <x v="2"/>
    <n v="0.81"/>
    <n v="0.81"/>
  </r>
  <r>
    <s v="FL250412"/>
    <s v="Jessica Erickson"/>
    <s v="Jessica Erickson"/>
    <s v="FEMALE"/>
    <s v="Female"/>
    <n v="58"/>
    <x v="6"/>
    <x v="5"/>
    <x v="2"/>
    <n v="17"/>
    <x v="4"/>
    <n v="50"/>
    <s v="50"/>
    <x v="1"/>
    <n v="2.6"/>
    <n v="1"/>
    <x v="1"/>
    <n v="0.61"/>
    <n v="0.61"/>
  </r>
  <r>
    <s v="FL250413"/>
    <s v="Sara Moses"/>
    <s v="Sara Moses"/>
    <s v="FEMALE"/>
    <s v="Female"/>
    <n v="40"/>
    <x v="11"/>
    <x v="9"/>
    <x v="6"/>
    <n v="2"/>
    <x v="2"/>
    <n v="100"/>
    <s v="100"/>
    <x v="0"/>
    <n v="0"/>
    <n v="0"/>
    <x v="0"/>
    <m/>
    <m/>
  </r>
  <r>
    <s v="FL250414"/>
    <s v="Allison Henderson"/>
    <s v="Allison Henderson"/>
    <s v="f"/>
    <s v="Female"/>
    <n v="26"/>
    <x v="16"/>
    <x v="13"/>
    <x v="3"/>
    <n v="2"/>
    <x v="2"/>
    <n v="20"/>
    <n v="20"/>
    <x v="6"/>
    <n v="1.3"/>
    <s v="no"/>
    <x v="0"/>
    <n v="0.83"/>
    <n v="0.83"/>
  </r>
  <r>
    <s v="FL250415"/>
    <s v="Susan Dixon"/>
    <s v="Susan Dixon"/>
    <s v="FEMALE"/>
    <s v="Female"/>
    <n v="44"/>
    <x v="12"/>
    <x v="10"/>
    <x v="7"/>
    <n v="22"/>
    <x v="1"/>
    <n v="30"/>
    <n v="30"/>
    <x v="3"/>
    <n v="4.0999999999999996"/>
    <s v="Y"/>
    <x v="1"/>
    <m/>
    <m/>
  </r>
  <r>
    <s v="FL250416"/>
    <s v="David Morrison"/>
    <s v="David Morrison"/>
    <s v="male"/>
    <s v="Male"/>
    <n v="42"/>
    <x v="19"/>
    <x v="6"/>
    <x v="9"/>
    <n v="8"/>
    <x v="3"/>
    <n v="50"/>
    <s v="50"/>
    <x v="1"/>
    <n v="2.4"/>
    <s v="no"/>
    <x v="0"/>
    <n v="0.68"/>
    <n v="0.68"/>
  </r>
  <r>
    <s v="FL250417"/>
    <s v="Jason Carter"/>
    <s v="Jason Carter"/>
    <s v="m"/>
    <s v="Male"/>
    <n v="38"/>
    <x v="19"/>
    <x v="6"/>
    <x v="5"/>
    <n v="9"/>
    <x v="3"/>
    <n v="50"/>
    <s v="50"/>
    <x v="1"/>
    <n v="0"/>
    <n v="0"/>
    <x v="0"/>
    <n v="0.74"/>
    <n v="0.74"/>
  </r>
  <r>
    <s v="FL250418"/>
    <s v="James Jacobs"/>
    <s v="James Jacobs"/>
    <s v="male"/>
    <s v="Male"/>
    <n v="51"/>
    <x v="16"/>
    <x v="13"/>
    <x v="3"/>
    <n v="32"/>
    <x v="1"/>
    <n v="100"/>
    <n v="100"/>
    <x v="0"/>
    <n v="4.4000000000000004"/>
    <b v="0"/>
    <x v="0"/>
    <n v="91"/>
    <n v="0.91"/>
  </r>
  <r>
    <s v="FL250419"/>
    <s v="Kathleen Quinn"/>
    <s v="Kathleen Quinn"/>
    <s v="FEMALE"/>
    <s v="Female"/>
    <n v="36"/>
    <x v="15"/>
    <x v="12"/>
    <x v="4"/>
    <n v="8"/>
    <x v="3"/>
    <s v="USD 100"/>
    <s v="100"/>
    <x v="0"/>
    <n v="2.2000000000000002"/>
    <n v="1"/>
    <x v="1"/>
    <n v="0.97"/>
    <n v="0.97"/>
  </r>
  <r>
    <s v="FL250420"/>
    <s v="Natalie Frank MD"/>
    <s v="Natalie Frank MD"/>
    <s v="FEMALE"/>
    <s v="Female"/>
    <n v="37"/>
    <x v="1"/>
    <x v="1"/>
    <x v="1"/>
    <n v="10"/>
    <x v="3"/>
    <n v="30"/>
    <n v="30"/>
    <x v="3"/>
    <n v="0"/>
    <n v="0"/>
    <x v="0"/>
    <n v="0.96"/>
    <n v="0.96"/>
  </r>
  <r>
    <s v="FL250421"/>
    <s v="Michael Reed"/>
    <s v="Michael Reed"/>
    <s v="male"/>
    <s v="Male"/>
    <n v="31"/>
    <x v="17"/>
    <x v="14"/>
    <x v="8"/>
    <n v="0"/>
    <x v="2"/>
    <n v="50"/>
    <n v="50"/>
    <x v="1"/>
    <n v="1.1000000000000001"/>
    <s v="Y"/>
    <x v="1"/>
    <n v="0.73"/>
    <n v="0.73"/>
  </r>
  <r>
    <s v="FL250422"/>
    <s v="Sheila Smith"/>
    <s v="Sheila Smith"/>
    <s v="f"/>
    <s v="Female"/>
    <n v="47"/>
    <x v="10"/>
    <x v="8"/>
    <x v="7"/>
    <n v="22"/>
    <x v="1"/>
    <m/>
    <m/>
    <x v="5"/>
    <n v="1.4"/>
    <s v="yes"/>
    <x v="1"/>
    <n v="0.72"/>
    <n v="0.72"/>
  </r>
  <r>
    <s v="FL250423"/>
    <s v="Morgan Ford"/>
    <s v="Morgan Ford"/>
    <s v="FEMALE"/>
    <s v="Female"/>
    <n v="60"/>
    <x v="19"/>
    <x v="6"/>
    <x v="6"/>
    <n v="34"/>
    <x v="1"/>
    <n v="100"/>
    <s v="100"/>
    <x v="0"/>
    <n v="0"/>
    <b v="1"/>
    <x v="1"/>
    <n v="0.74"/>
    <n v="0.74"/>
  </r>
  <r>
    <s v="FL250424"/>
    <s v="Linda Schultz"/>
    <s v="Linda Schultz"/>
    <s v="FEMALE"/>
    <s v="Female"/>
    <n v="48"/>
    <x v="8"/>
    <x v="6"/>
    <x v="1"/>
    <n v="5"/>
    <x v="2"/>
    <n v="30"/>
    <n v="30"/>
    <x v="3"/>
    <n v="1.5"/>
    <s v="N"/>
    <x v="0"/>
    <m/>
    <m/>
  </r>
  <r>
    <s v="FL250425"/>
    <s v="Regina Daniel"/>
    <s v="Regina Daniel"/>
    <s v="f"/>
    <s v="Female"/>
    <n v="24"/>
    <x v="10"/>
    <x v="8"/>
    <x v="4"/>
    <n v="3"/>
    <x v="2"/>
    <n v="20"/>
    <n v="20"/>
    <x v="6"/>
    <n v="0"/>
    <n v="1"/>
    <x v="1"/>
    <m/>
    <m/>
  </r>
  <r>
    <s v="FL250426"/>
    <s v="Allison Perkins"/>
    <s v="Allison Perkins"/>
    <s v="FEMALE"/>
    <s v="Female"/>
    <n v="35"/>
    <x v="3"/>
    <x v="3"/>
    <x v="9"/>
    <n v="10"/>
    <x v="3"/>
    <n v="75"/>
    <n v="75"/>
    <x v="4"/>
    <n v="0"/>
    <m/>
    <x v="2"/>
    <n v="0.74"/>
    <n v="0.74"/>
  </r>
  <r>
    <s v="FL250427"/>
    <s v="Bradley Weaver"/>
    <s v="Bradley Weaver"/>
    <s v="male"/>
    <s v="Male"/>
    <n v="35"/>
    <x v="5"/>
    <x v="1"/>
    <x v="8"/>
    <m/>
    <x v="2"/>
    <n v="100"/>
    <n v="100"/>
    <x v="0"/>
    <n v="3.5"/>
    <s v="Y"/>
    <x v="1"/>
    <n v="0.71"/>
    <n v="0.71"/>
  </r>
  <r>
    <s v="FL250428"/>
    <s v="Sarah Hall"/>
    <s v="Sarah Hall"/>
    <s v="FEMALE"/>
    <s v="Female"/>
    <n v="29"/>
    <x v="3"/>
    <x v="3"/>
    <x v="6"/>
    <n v="6"/>
    <x v="3"/>
    <m/>
    <m/>
    <x v="5"/>
    <n v="4.8"/>
    <s v="N"/>
    <x v="0"/>
    <n v="0.83"/>
    <n v="0.83"/>
  </r>
  <r>
    <s v="FL250429"/>
    <s v="Diana Walton"/>
    <s v="Diana Walton"/>
    <s v="FEMALE"/>
    <s v="Female"/>
    <n v="36"/>
    <x v="0"/>
    <x v="0"/>
    <x v="9"/>
    <n v="1"/>
    <x v="2"/>
    <n v="75"/>
    <s v="75"/>
    <x v="4"/>
    <m/>
    <m/>
    <x v="2"/>
    <n v="0.63"/>
    <n v="0.63"/>
  </r>
  <r>
    <s v="FL250430"/>
    <s v="Donna Davis"/>
    <s v="Donna Davis"/>
    <s v="FEMALE"/>
    <s v="Female"/>
    <n v="44"/>
    <x v="14"/>
    <x v="1"/>
    <x v="4"/>
    <n v="0"/>
    <x v="2"/>
    <m/>
    <m/>
    <x v="5"/>
    <n v="4.8"/>
    <m/>
    <x v="2"/>
    <n v="0.84"/>
    <n v="0.84"/>
  </r>
  <r>
    <s v="FL250431"/>
    <s v="Christopher Mcclain"/>
    <s v="Christopher Mcclain"/>
    <s v="male"/>
    <s v="Male"/>
    <n v="44"/>
    <x v="17"/>
    <x v="14"/>
    <x v="3"/>
    <m/>
    <x v="2"/>
    <m/>
    <m/>
    <x v="5"/>
    <n v="1.4"/>
    <n v="0"/>
    <x v="0"/>
    <n v="0.93"/>
    <n v="0.93"/>
  </r>
  <r>
    <s v="FL250432"/>
    <s v="Dr. Paul Williamson"/>
    <s v="Paul Williamson"/>
    <s v="m"/>
    <s v="Male"/>
    <n v="40"/>
    <x v="10"/>
    <x v="8"/>
    <x v="4"/>
    <n v="13"/>
    <x v="0"/>
    <s v="USD 100"/>
    <s v="100"/>
    <x v="0"/>
    <n v="1.1000000000000001"/>
    <n v="1"/>
    <x v="1"/>
    <m/>
    <m/>
  </r>
  <r>
    <s v="FL250433"/>
    <s v="Barbara Brown"/>
    <s v="Barbara Brown"/>
    <s v="f"/>
    <s v="Female"/>
    <n v="53"/>
    <x v="3"/>
    <x v="3"/>
    <x v="9"/>
    <n v="13"/>
    <x v="0"/>
    <n v="50"/>
    <s v="50"/>
    <x v="1"/>
    <n v="3.3"/>
    <s v="Y"/>
    <x v="1"/>
    <n v="0.93"/>
    <n v="0.93"/>
  </r>
  <r>
    <s v="FL250434"/>
    <s v="Kimberly Allen"/>
    <s v="Kimberly Allen"/>
    <s v="f"/>
    <s v="Female"/>
    <n v="35"/>
    <x v="2"/>
    <x v="2"/>
    <x v="0"/>
    <n v="0"/>
    <x v="2"/>
    <s v="USD 30"/>
    <s v="30"/>
    <x v="3"/>
    <n v="4.5999999999999996"/>
    <m/>
    <x v="2"/>
    <n v="0.97"/>
    <n v="0.97"/>
  </r>
  <r>
    <s v="FL250435"/>
    <s v="Elizabeth Edwards"/>
    <s v="Elizabeth Edwards"/>
    <s v="FEMALE"/>
    <s v="Female"/>
    <n v="27"/>
    <x v="8"/>
    <x v="6"/>
    <x v="9"/>
    <n v="7"/>
    <x v="3"/>
    <s v="USD 75"/>
    <s v="75"/>
    <x v="4"/>
    <n v="2.8"/>
    <n v="1"/>
    <x v="1"/>
    <n v="0.92"/>
    <n v="0.92"/>
  </r>
  <r>
    <s v="FL250436"/>
    <s v="Anthony Downs"/>
    <s v="Anthony Downs"/>
    <s v="male"/>
    <s v="Male"/>
    <n v="34"/>
    <x v="1"/>
    <x v="1"/>
    <x v="8"/>
    <n v="6"/>
    <x v="3"/>
    <n v="50"/>
    <n v="50"/>
    <x v="1"/>
    <n v="5"/>
    <s v="Y"/>
    <x v="1"/>
    <n v="0.92"/>
    <n v="0.92"/>
  </r>
  <r>
    <s v="FL250437"/>
    <s v="Jack Ortega"/>
    <s v="Jack Ortega"/>
    <s v="male"/>
    <s v="Male"/>
    <n v="24"/>
    <x v="10"/>
    <x v="8"/>
    <x v="7"/>
    <n v="2"/>
    <x v="2"/>
    <n v="75"/>
    <n v="75"/>
    <x v="4"/>
    <n v="4.7"/>
    <s v="no"/>
    <x v="0"/>
    <n v="0.68"/>
    <n v="0.68"/>
  </r>
  <r>
    <s v="FL250438"/>
    <s v="Marvin Moore"/>
    <s v="Marvin Moore"/>
    <s v="male"/>
    <s v="Male"/>
    <n v="57"/>
    <x v="5"/>
    <x v="1"/>
    <x v="6"/>
    <n v="13"/>
    <x v="0"/>
    <n v="100"/>
    <n v="100"/>
    <x v="0"/>
    <n v="3.5"/>
    <s v="no"/>
    <x v="0"/>
    <n v="0.95"/>
    <n v="0.95"/>
  </r>
  <r>
    <s v="FL250439"/>
    <s v="Tony French"/>
    <s v="Tony French"/>
    <s v="m"/>
    <s v="Male"/>
    <n v="28"/>
    <x v="12"/>
    <x v="10"/>
    <x v="6"/>
    <n v="7"/>
    <x v="3"/>
    <n v="100"/>
    <s v="100"/>
    <x v="0"/>
    <n v="4.3"/>
    <b v="0"/>
    <x v="0"/>
    <n v="0.76"/>
    <n v="0.76"/>
  </r>
  <r>
    <s v="FL250440"/>
    <s v="Stacy Hudson"/>
    <s v="Stacy Hudson"/>
    <s v="f"/>
    <s v="Female"/>
    <n v="26"/>
    <x v="0"/>
    <x v="0"/>
    <x v="8"/>
    <n v="7"/>
    <x v="3"/>
    <s v="USD 100"/>
    <s v="100"/>
    <x v="0"/>
    <n v="3.3"/>
    <s v="yes"/>
    <x v="1"/>
    <n v="0.66"/>
    <n v="0.66"/>
  </r>
  <r>
    <s v="FL250441"/>
    <s v="Scott Washington"/>
    <s v="Scott Washington"/>
    <s v="male"/>
    <s v="Male"/>
    <n v="34"/>
    <x v="8"/>
    <x v="6"/>
    <x v="1"/>
    <n v="15"/>
    <x v="0"/>
    <n v="75"/>
    <n v="75"/>
    <x v="4"/>
    <m/>
    <n v="0"/>
    <x v="0"/>
    <n v="0.73"/>
    <n v="0.73"/>
  </r>
  <r>
    <s v="FL250442"/>
    <s v="Timothy Wright"/>
    <s v="Timothy Wright"/>
    <s v="male"/>
    <s v="Male"/>
    <n v="43"/>
    <x v="9"/>
    <x v="7"/>
    <x v="4"/>
    <m/>
    <x v="2"/>
    <s v="USD 20"/>
    <s v="20"/>
    <x v="6"/>
    <n v="2.8"/>
    <m/>
    <x v="2"/>
    <n v="0.99"/>
    <n v="0.99"/>
  </r>
  <r>
    <s v="FL250443"/>
    <s v="Joseph Gonzalez"/>
    <s v="Joseph Gonzalez"/>
    <s v="m"/>
    <s v="Male"/>
    <n v="31"/>
    <x v="18"/>
    <x v="15"/>
    <x v="2"/>
    <n v="5"/>
    <x v="2"/>
    <m/>
    <m/>
    <x v="5"/>
    <n v="2.7"/>
    <n v="1"/>
    <x v="1"/>
    <n v="94"/>
    <n v="0.94"/>
  </r>
  <r>
    <s v="FL250444"/>
    <s v="Andrea Perez"/>
    <s v="Andrea Perez"/>
    <s v="FEMALE"/>
    <s v="Female"/>
    <n v="34"/>
    <x v="18"/>
    <x v="15"/>
    <x v="0"/>
    <m/>
    <x v="2"/>
    <n v="50"/>
    <s v="50"/>
    <x v="1"/>
    <n v="0"/>
    <b v="0"/>
    <x v="0"/>
    <n v="84"/>
    <n v="0.84"/>
  </r>
  <r>
    <s v="FL250445"/>
    <s v="Angel Collins"/>
    <s v="Angel Collins"/>
    <s v="f"/>
    <s v="Female"/>
    <n v="32"/>
    <x v="13"/>
    <x v="11"/>
    <x v="7"/>
    <n v="10"/>
    <x v="3"/>
    <n v="20"/>
    <s v="20"/>
    <x v="6"/>
    <m/>
    <s v="Y"/>
    <x v="1"/>
    <n v="0.92"/>
    <n v="0.92"/>
  </r>
  <r>
    <s v="FL250446"/>
    <s v="Daniel Terry"/>
    <s v="Daniel Terry"/>
    <s v="m"/>
    <s v="Male"/>
    <n v="24"/>
    <x v="16"/>
    <x v="13"/>
    <x v="8"/>
    <n v="6"/>
    <x v="3"/>
    <n v="75"/>
    <s v="75"/>
    <x v="4"/>
    <n v="4.3"/>
    <s v="yes"/>
    <x v="1"/>
    <m/>
    <m/>
  </r>
  <r>
    <s v="FL250447"/>
    <s v="Steven Whitaker"/>
    <s v="Steven Whitaker"/>
    <s v="male"/>
    <s v="Male"/>
    <n v="35"/>
    <x v="7"/>
    <x v="1"/>
    <x v="4"/>
    <n v="8"/>
    <x v="3"/>
    <s v="USD 50"/>
    <s v="50"/>
    <x v="1"/>
    <m/>
    <s v="no"/>
    <x v="0"/>
    <n v="90"/>
    <n v="0.9"/>
  </r>
  <r>
    <s v="FL250448"/>
    <s v="Denise Neal"/>
    <s v="Denise Neal"/>
    <s v="FEMALE"/>
    <s v="Female"/>
    <n v="22"/>
    <x v="1"/>
    <x v="1"/>
    <x v="1"/>
    <n v="4"/>
    <x v="2"/>
    <n v="20"/>
    <n v="20"/>
    <x v="6"/>
    <m/>
    <n v="0"/>
    <x v="0"/>
    <n v="0.73"/>
    <n v="0.73"/>
  </r>
  <r>
    <s v="FL250449"/>
    <s v="Amanda Jacobs"/>
    <s v="Amanda Jacobs"/>
    <s v="f"/>
    <s v="Female"/>
    <n v="55"/>
    <x v="16"/>
    <x v="13"/>
    <x v="4"/>
    <n v="3"/>
    <x v="2"/>
    <n v="100"/>
    <n v="100"/>
    <x v="0"/>
    <m/>
    <n v="1"/>
    <x v="1"/>
    <n v="0.73"/>
    <n v="0.73"/>
  </r>
  <r>
    <s v="FL250450"/>
    <s v="Karen Mercer"/>
    <s v="Karen Mercer"/>
    <s v="FEMALE"/>
    <s v="Female"/>
    <n v="54"/>
    <x v="8"/>
    <x v="6"/>
    <x v="9"/>
    <m/>
    <x v="2"/>
    <n v="30"/>
    <n v="30"/>
    <x v="3"/>
    <n v="2.9"/>
    <b v="1"/>
    <x v="1"/>
    <n v="0.78"/>
    <n v="0.78"/>
  </r>
  <r>
    <s v="FL250451"/>
    <s v="Lindsay Hudson"/>
    <s v="Lindsay Hudson"/>
    <s v="f"/>
    <s v="Female"/>
    <n v="36"/>
    <x v="3"/>
    <x v="3"/>
    <x v="7"/>
    <n v="11"/>
    <x v="0"/>
    <n v="30"/>
    <s v="30"/>
    <x v="3"/>
    <n v="0"/>
    <b v="1"/>
    <x v="1"/>
    <n v="0.63"/>
    <n v="0.63"/>
  </r>
  <r>
    <s v="FL250452"/>
    <s v="Stephanie Armstrong"/>
    <s v="Stephanie Armstrong"/>
    <s v="FEMALE"/>
    <s v="Female"/>
    <n v="36"/>
    <x v="3"/>
    <x v="3"/>
    <x v="4"/>
    <n v="17"/>
    <x v="4"/>
    <n v="50"/>
    <n v="50"/>
    <x v="1"/>
    <n v="1.3"/>
    <m/>
    <x v="2"/>
    <n v="0.64"/>
    <n v="0.64"/>
  </r>
  <r>
    <s v="FL250453"/>
    <s v="Dr. Jessica Campbell"/>
    <s v="Jessica Campbell"/>
    <s v="f"/>
    <s v="Female"/>
    <n v="25"/>
    <x v="8"/>
    <x v="6"/>
    <x v="3"/>
    <n v="1"/>
    <x v="2"/>
    <n v="75"/>
    <n v="75"/>
    <x v="4"/>
    <n v="0"/>
    <n v="1"/>
    <x v="1"/>
    <m/>
    <m/>
  </r>
  <r>
    <s v="FL250454"/>
    <s v="Curtis Maxwell"/>
    <s v="Curtis Maxwell"/>
    <s v="male"/>
    <s v="Male"/>
    <n v="46"/>
    <x v="4"/>
    <x v="4"/>
    <x v="4"/>
    <n v="16"/>
    <x v="4"/>
    <n v="20"/>
    <n v="20"/>
    <x v="6"/>
    <n v="4.8"/>
    <n v="1"/>
    <x v="1"/>
    <n v="0.86"/>
    <n v="0.86"/>
  </r>
  <r>
    <s v="FL250455"/>
    <s v="Adam Kelly PhD"/>
    <s v="Adam Kelly PhD"/>
    <s v="m"/>
    <s v="Male"/>
    <n v="41"/>
    <x v="8"/>
    <x v="6"/>
    <x v="9"/>
    <n v="11"/>
    <x v="0"/>
    <n v="40"/>
    <s v="40"/>
    <x v="2"/>
    <n v="2.4"/>
    <b v="0"/>
    <x v="0"/>
    <m/>
    <m/>
  </r>
  <r>
    <s v="FL250456"/>
    <s v="Julie Becker"/>
    <s v="Julie Becker"/>
    <s v="FEMALE"/>
    <s v="Female"/>
    <n v="21"/>
    <x v="13"/>
    <x v="11"/>
    <x v="1"/>
    <n v="3"/>
    <x v="2"/>
    <n v="100"/>
    <s v="100"/>
    <x v="0"/>
    <n v="4.7"/>
    <s v="N"/>
    <x v="0"/>
    <n v="0.96"/>
    <n v="0.96"/>
  </r>
  <r>
    <s v="FL250457"/>
    <s v="James Moore"/>
    <s v="James Moore"/>
    <s v="male"/>
    <s v="Male"/>
    <n v="29"/>
    <x v="5"/>
    <x v="1"/>
    <x v="2"/>
    <m/>
    <x v="2"/>
    <n v="75"/>
    <s v="75"/>
    <x v="4"/>
    <n v="2"/>
    <n v="0"/>
    <x v="0"/>
    <m/>
    <m/>
  </r>
  <r>
    <s v="FL250458"/>
    <s v="Danielle Barrera"/>
    <s v="Danielle Barrera"/>
    <s v="f"/>
    <s v="Female"/>
    <n v="44"/>
    <x v="5"/>
    <x v="1"/>
    <x v="1"/>
    <n v="3"/>
    <x v="2"/>
    <n v="50"/>
    <s v="50"/>
    <x v="1"/>
    <n v="2.2000000000000002"/>
    <n v="0"/>
    <x v="0"/>
    <n v="0.77"/>
    <n v="0.77"/>
  </r>
  <r>
    <s v="FL250459"/>
    <s v="David Sanchez"/>
    <s v="David Sanchez"/>
    <s v="male"/>
    <s v="Male"/>
    <n v="40"/>
    <x v="14"/>
    <x v="1"/>
    <x v="9"/>
    <n v="1"/>
    <x v="2"/>
    <n v="100"/>
    <n v="100"/>
    <x v="0"/>
    <n v="2.1"/>
    <n v="1"/>
    <x v="1"/>
    <m/>
    <m/>
  </r>
  <r>
    <s v="FL250460"/>
    <s v="Tiffany Bowman"/>
    <s v="Tiffany Bowman"/>
    <s v="FEMALE"/>
    <s v="Female"/>
    <n v="27"/>
    <x v="16"/>
    <x v="13"/>
    <x v="5"/>
    <n v="1"/>
    <x v="2"/>
    <n v="30"/>
    <n v="30"/>
    <x v="3"/>
    <n v="1.7"/>
    <b v="0"/>
    <x v="0"/>
    <n v="0.65"/>
    <n v="0.65"/>
  </r>
  <r>
    <s v="FL250461"/>
    <s v="Jesus Quinn"/>
    <s v="Jesus Quinn"/>
    <s v="male"/>
    <s v="Male"/>
    <n v="53"/>
    <x v="15"/>
    <x v="12"/>
    <x v="1"/>
    <n v="35"/>
    <x v="1"/>
    <m/>
    <m/>
    <x v="5"/>
    <n v="5"/>
    <n v="1"/>
    <x v="1"/>
    <n v="0.62"/>
    <n v="0.62"/>
  </r>
  <r>
    <s v="FL250462"/>
    <s v="Mr. Danny Morris DDS"/>
    <s v="Danny Morris DDS"/>
    <s v="male"/>
    <s v="Male"/>
    <n v="20"/>
    <x v="6"/>
    <x v="5"/>
    <x v="5"/>
    <n v="1"/>
    <x v="2"/>
    <n v="50"/>
    <n v="50"/>
    <x v="1"/>
    <n v="2.9"/>
    <s v="no"/>
    <x v="0"/>
    <n v="0.81"/>
    <n v="0.81"/>
  </r>
  <r>
    <s v="FL250463"/>
    <s v="Nicole York"/>
    <s v="Nicole York"/>
    <s v="FEMALE"/>
    <s v="Female"/>
    <m/>
    <x v="9"/>
    <x v="7"/>
    <x v="8"/>
    <n v="12"/>
    <x v="0"/>
    <n v="50"/>
    <s v="50"/>
    <x v="1"/>
    <n v="4.0999999999999996"/>
    <s v="Y"/>
    <x v="1"/>
    <n v="0.62"/>
    <n v="0.62"/>
  </r>
  <r>
    <s v="FL250464"/>
    <s v="John Mathis"/>
    <s v="John Mathis"/>
    <s v="male"/>
    <s v="Male"/>
    <n v="26"/>
    <x v="19"/>
    <x v="6"/>
    <x v="3"/>
    <n v="8"/>
    <x v="3"/>
    <n v="40"/>
    <n v="40"/>
    <x v="2"/>
    <n v="4.9000000000000004"/>
    <s v="N"/>
    <x v="0"/>
    <n v="0.87"/>
    <n v="0.87"/>
  </r>
  <r>
    <s v="FL250465"/>
    <s v="Julie Barnett"/>
    <s v="Julie Barnett"/>
    <s v="FEMALE"/>
    <s v="Female"/>
    <n v="49"/>
    <x v="11"/>
    <x v="9"/>
    <x v="9"/>
    <n v="13"/>
    <x v="0"/>
    <n v="100"/>
    <s v="100"/>
    <x v="0"/>
    <n v="2.5"/>
    <b v="0"/>
    <x v="0"/>
    <m/>
    <m/>
  </r>
  <r>
    <s v="FL250466"/>
    <s v="Jasmine Harris"/>
    <s v="Jasmine Harris"/>
    <s v="f"/>
    <s v="Female"/>
    <n v="20"/>
    <x v="16"/>
    <x v="13"/>
    <x v="5"/>
    <n v="0"/>
    <x v="2"/>
    <s v="USD 30"/>
    <s v="30"/>
    <x v="3"/>
    <n v="0"/>
    <n v="1"/>
    <x v="1"/>
    <n v="76"/>
    <n v="0.76"/>
  </r>
  <r>
    <s v="FL250467"/>
    <s v="Mary Henry"/>
    <s v="Mary Henry"/>
    <s v="FEMALE"/>
    <s v="Female"/>
    <n v="39"/>
    <x v="18"/>
    <x v="15"/>
    <x v="0"/>
    <n v="11"/>
    <x v="0"/>
    <n v="100"/>
    <n v="100"/>
    <x v="0"/>
    <n v="2.8"/>
    <m/>
    <x v="2"/>
    <n v="70"/>
    <n v="0.7"/>
  </r>
  <r>
    <s v="FL250468"/>
    <s v="Judith Riggs"/>
    <s v="Judith Riggs"/>
    <s v="f"/>
    <s v="Female"/>
    <n v="41"/>
    <x v="18"/>
    <x v="15"/>
    <x v="9"/>
    <n v="19"/>
    <x v="4"/>
    <n v="100"/>
    <n v="100"/>
    <x v="0"/>
    <n v="3.8"/>
    <s v="yes"/>
    <x v="1"/>
    <n v="0.71"/>
    <n v="0.71"/>
  </r>
  <r>
    <s v="FL250469"/>
    <s v="Justin Ruiz"/>
    <s v="Justin Ruiz"/>
    <s v="male"/>
    <s v="Male"/>
    <n v="59"/>
    <x v="14"/>
    <x v="1"/>
    <x v="1"/>
    <n v="30"/>
    <x v="1"/>
    <s v="USD 30"/>
    <s v="30"/>
    <x v="3"/>
    <n v="4.3"/>
    <n v="1"/>
    <x v="1"/>
    <n v="0.83"/>
    <n v="0.83"/>
  </r>
  <r>
    <s v="FL250470"/>
    <s v="Jennifer Sullivan"/>
    <s v="Jennifer Sullivan"/>
    <s v="FEMALE"/>
    <s v="Female"/>
    <n v="45"/>
    <x v="1"/>
    <x v="1"/>
    <x v="0"/>
    <n v="8"/>
    <x v="3"/>
    <n v="40"/>
    <n v="40"/>
    <x v="2"/>
    <n v="0"/>
    <n v="0"/>
    <x v="0"/>
    <n v="78"/>
    <n v="0.78"/>
  </r>
  <r>
    <s v="FL250471"/>
    <s v="Jesse Moran"/>
    <s v="Jesse Moran"/>
    <s v="male"/>
    <s v="Male"/>
    <n v="22"/>
    <x v="4"/>
    <x v="4"/>
    <x v="7"/>
    <n v="0"/>
    <x v="2"/>
    <n v="40"/>
    <n v="40"/>
    <x v="2"/>
    <n v="1.3"/>
    <n v="1"/>
    <x v="1"/>
    <n v="0.78"/>
    <n v="0.78"/>
  </r>
  <r>
    <s v="FL250472"/>
    <s v="Monica Smith"/>
    <s v="Monica Smith"/>
    <s v="f"/>
    <s v="Female"/>
    <n v="48"/>
    <x v="10"/>
    <x v="8"/>
    <x v="1"/>
    <n v="7"/>
    <x v="3"/>
    <n v="50"/>
    <n v="50"/>
    <x v="1"/>
    <n v="4.7"/>
    <s v="Y"/>
    <x v="1"/>
    <n v="0.6"/>
    <n v="0.6"/>
  </r>
  <r>
    <s v="FL250473"/>
    <s v="Ian May"/>
    <s v="Ian May"/>
    <s v="male"/>
    <s v="Male"/>
    <n v="36"/>
    <x v="15"/>
    <x v="12"/>
    <x v="0"/>
    <n v="11"/>
    <x v="0"/>
    <n v="40"/>
    <s v="40"/>
    <x v="2"/>
    <n v="1.3"/>
    <b v="1"/>
    <x v="1"/>
    <m/>
    <m/>
  </r>
  <r>
    <s v="FL250474"/>
    <s v="Kayla Meyers"/>
    <s v="Kayla Meyers"/>
    <s v="FEMALE"/>
    <s v="Female"/>
    <n v="57"/>
    <x v="18"/>
    <x v="15"/>
    <x v="0"/>
    <m/>
    <x v="2"/>
    <n v="75"/>
    <n v="75"/>
    <x v="4"/>
    <n v="4.8"/>
    <n v="1"/>
    <x v="1"/>
    <m/>
    <m/>
  </r>
  <r>
    <s v="FL250475"/>
    <s v="John Bray"/>
    <s v="John Bray"/>
    <s v="male"/>
    <s v="Male"/>
    <n v="42"/>
    <x v="5"/>
    <x v="1"/>
    <x v="6"/>
    <n v="14"/>
    <x v="0"/>
    <n v="30"/>
    <s v="30"/>
    <x v="3"/>
    <n v="1.3"/>
    <n v="0"/>
    <x v="0"/>
    <n v="0.94"/>
    <n v="0.94"/>
  </r>
  <r>
    <s v="FL250476"/>
    <s v="James Smith"/>
    <s v="James Smith"/>
    <s v="m"/>
    <s v="Male"/>
    <n v="31"/>
    <x v="4"/>
    <x v="4"/>
    <x v="7"/>
    <n v="11"/>
    <x v="0"/>
    <n v="50"/>
    <s v="50"/>
    <x v="1"/>
    <n v="4.3"/>
    <n v="0"/>
    <x v="0"/>
    <n v="62"/>
    <n v="0.62"/>
  </r>
  <r>
    <s v="FL250477"/>
    <s v="Mark Duncan"/>
    <s v="Mark Duncan"/>
    <s v="m"/>
    <s v="Male"/>
    <n v="52"/>
    <x v="20"/>
    <x v="6"/>
    <x v="7"/>
    <n v="31"/>
    <x v="1"/>
    <n v="30"/>
    <n v="30"/>
    <x v="3"/>
    <m/>
    <n v="1"/>
    <x v="1"/>
    <m/>
    <m/>
  </r>
  <r>
    <s v="FL250478"/>
    <s v="Matthew Gay"/>
    <s v="Matthew Gay"/>
    <s v="m"/>
    <s v="Male"/>
    <n v="56"/>
    <x v="3"/>
    <x v="3"/>
    <x v="8"/>
    <n v="16"/>
    <x v="4"/>
    <s v="USD 30"/>
    <s v="30"/>
    <x v="3"/>
    <n v="0"/>
    <s v="yes"/>
    <x v="1"/>
    <m/>
    <m/>
  </r>
  <r>
    <s v="FL250479"/>
    <s v="Cheryl Freeman"/>
    <s v="Cheryl Freeman"/>
    <s v="FEMALE"/>
    <s v="Female"/>
    <n v="24"/>
    <x v="3"/>
    <x v="3"/>
    <x v="8"/>
    <n v="6"/>
    <x v="3"/>
    <n v="30"/>
    <n v="30"/>
    <x v="3"/>
    <n v="0"/>
    <s v="yes"/>
    <x v="1"/>
    <n v="0.84"/>
    <n v="0.84"/>
  </r>
  <r>
    <s v="FL250480"/>
    <s v="Patrick Welch"/>
    <s v="Patrick Welch"/>
    <s v="male"/>
    <s v="Male"/>
    <n v="48"/>
    <x v="14"/>
    <x v="1"/>
    <x v="8"/>
    <n v="21"/>
    <x v="1"/>
    <n v="75"/>
    <n v="75"/>
    <x v="4"/>
    <n v="2.7"/>
    <n v="1"/>
    <x v="1"/>
    <m/>
    <m/>
  </r>
  <r>
    <s v="FL250481"/>
    <s v="Craig Levine"/>
    <s v="Craig Levine"/>
    <s v="male"/>
    <s v="Male"/>
    <n v="59"/>
    <x v="15"/>
    <x v="12"/>
    <x v="7"/>
    <n v="13"/>
    <x v="0"/>
    <n v="40"/>
    <n v="40"/>
    <x v="2"/>
    <n v="2.4"/>
    <s v="no"/>
    <x v="0"/>
    <n v="65"/>
    <n v="0.65"/>
  </r>
  <r>
    <s v="FL250482"/>
    <s v="Richard Harvey"/>
    <s v="Richard Harvey"/>
    <s v="male"/>
    <s v="Male"/>
    <m/>
    <x v="7"/>
    <x v="1"/>
    <x v="3"/>
    <m/>
    <x v="2"/>
    <n v="40"/>
    <n v="40"/>
    <x v="2"/>
    <n v="1.9"/>
    <n v="1"/>
    <x v="1"/>
    <n v="0.94"/>
    <n v="0.94"/>
  </r>
  <r>
    <s v="FL250483"/>
    <s v="Bonnie Sherman"/>
    <s v="Bonnie Sherman"/>
    <s v="FEMALE"/>
    <s v="Female"/>
    <m/>
    <x v="3"/>
    <x v="3"/>
    <x v="1"/>
    <n v="11"/>
    <x v="0"/>
    <n v="20"/>
    <s v="20"/>
    <x v="6"/>
    <n v="3.6"/>
    <s v="no"/>
    <x v="0"/>
    <n v="0.69"/>
    <n v="0.69"/>
  </r>
  <r>
    <s v="FL250484"/>
    <s v="Keith Trujillo"/>
    <s v="Keith Trujillo"/>
    <s v="m"/>
    <s v="Male"/>
    <n v="25"/>
    <x v="3"/>
    <x v="3"/>
    <x v="1"/>
    <n v="0"/>
    <x v="2"/>
    <n v="50"/>
    <n v="50"/>
    <x v="1"/>
    <n v="2.9"/>
    <s v="yes"/>
    <x v="1"/>
    <n v="0.65"/>
    <n v="0.65"/>
  </r>
  <r>
    <s v="FL250485"/>
    <s v="Corey Combs"/>
    <s v="Corey Combs"/>
    <s v="male"/>
    <s v="Male"/>
    <n v="31"/>
    <x v="16"/>
    <x v="13"/>
    <x v="1"/>
    <n v="2"/>
    <x v="2"/>
    <n v="75"/>
    <s v="75"/>
    <x v="4"/>
    <n v="2.8"/>
    <b v="0"/>
    <x v="0"/>
    <n v="0.6"/>
    <n v="0.6"/>
  </r>
  <r>
    <s v="FL250486"/>
    <s v="Antonio King"/>
    <s v="Antonio King"/>
    <s v="male"/>
    <s v="Male"/>
    <n v="40"/>
    <x v="6"/>
    <x v="5"/>
    <x v="8"/>
    <n v="12"/>
    <x v="0"/>
    <n v="75"/>
    <n v="75"/>
    <x v="4"/>
    <n v="2.6"/>
    <b v="0"/>
    <x v="0"/>
    <m/>
    <m/>
  </r>
  <r>
    <s v="FL250487"/>
    <s v="Amy Lee"/>
    <s v="Amy Lee"/>
    <s v="f"/>
    <s v="Female"/>
    <n v="48"/>
    <x v="13"/>
    <x v="11"/>
    <x v="0"/>
    <n v="13"/>
    <x v="0"/>
    <n v="100"/>
    <s v="100"/>
    <x v="0"/>
    <n v="2.7"/>
    <m/>
    <x v="2"/>
    <n v="0.62"/>
    <n v="0.62"/>
  </r>
  <r>
    <s v="FL250488"/>
    <s v="Jennifer Rogers"/>
    <s v="Jennifer Rogers"/>
    <s v="f"/>
    <s v="Female"/>
    <n v="24"/>
    <x v="17"/>
    <x v="14"/>
    <x v="1"/>
    <n v="6"/>
    <x v="3"/>
    <n v="30"/>
    <n v="30"/>
    <x v="3"/>
    <n v="1.1000000000000001"/>
    <s v="yes"/>
    <x v="1"/>
    <m/>
    <m/>
  </r>
  <r>
    <s v="FL250489"/>
    <s v="Jeffrey Cooper"/>
    <s v="Jeffrey Cooper"/>
    <s v="male"/>
    <s v="Male"/>
    <n v="33"/>
    <x v="4"/>
    <x v="4"/>
    <x v="3"/>
    <n v="10"/>
    <x v="3"/>
    <s v="USD 30"/>
    <s v="30"/>
    <x v="3"/>
    <n v="0"/>
    <s v="yes"/>
    <x v="1"/>
    <n v="0.89"/>
    <n v="0.89"/>
  </r>
  <r>
    <s v="FL250490"/>
    <s v="Allison Williams"/>
    <s v="Allison Williams"/>
    <s v="FEMALE"/>
    <s v="Female"/>
    <n v="43"/>
    <x v="11"/>
    <x v="9"/>
    <x v="6"/>
    <n v="2"/>
    <x v="2"/>
    <n v="40"/>
    <s v="40"/>
    <x v="2"/>
    <n v="0"/>
    <s v="yes"/>
    <x v="1"/>
    <n v="0.89"/>
    <n v="0.89"/>
  </r>
  <r>
    <s v="FL250491"/>
    <s v="Raymond Sherman"/>
    <s v="Raymond Sherman"/>
    <s v="m"/>
    <s v="Male"/>
    <n v="43"/>
    <x v="20"/>
    <x v="6"/>
    <x v="0"/>
    <n v="4"/>
    <x v="2"/>
    <n v="50"/>
    <n v="50"/>
    <x v="1"/>
    <n v="0"/>
    <b v="1"/>
    <x v="1"/>
    <n v="1"/>
    <n v="1"/>
  </r>
  <r>
    <s v="FL250492"/>
    <s v="Jennifer Nelson"/>
    <s v="Jennifer Nelson"/>
    <s v="FEMALE"/>
    <s v="Female"/>
    <n v="33"/>
    <x v="1"/>
    <x v="1"/>
    <x v="3"/>
    <n v="11"/>
    <x v="0"/>
    <m/>
    <m/>
    <x v="5"/>
    <n v="4.5999999999999996"/>
    <s v="yes"/>
    <x v="1"/>
    <m/>
    <m/>
  </r>
  <r>
    <s v="FL250493"/>
    <s v="Jennifer Carter"/>
    <s v="Jennifer Carter"/>
    <s v="FEMALE"/>
    <s v="Female"/>
    <n v="49"/>
    <x v="13"/>
    <x v="11"/>
    <x v="6"/>
    <n v="14"/>
    <x v="0"/>
    <n v="40"/>
    <n v="40"/>
    <x v="2"/>
    <n v="1.5"/>
    <m/>
    <x v="2"/>
    <n v="0.6"/>
    <n v="0.6"/>
  </r>
  <r>
    <s v="FL250494"/>
    <s v="Todd Williams"/>
    <s v="Todd Williams"/>
    <s v="m"/>
    <s v="Male"/>
    <n v="55"/>
    <x v="14"/>
    <x v="1"/>
    <x v="6"/>
    <n v="10"/>
    <x v="3"/>
    <n v="40"/>
    <n v="40"/>
    <x v="2"/>
    <n v="2"/>
    <s v="no"/>
    <x v="0"/>
    <n v="0.85"/>
    <n v="0.85"/>
  </r>
  <r>
    <s v="FL250495"/>
    <s v="Emily Horton"/>
    <s v="Emily Horton"/>
    <s v="f"/>
    <s v="Female"/>
    <n v="33"/>
    <x v="12"/>
    <x v="10"/>
    <x v="2"/>
    <n v="3"/>
    <x v="2"/>
    <n v="40"/>
    <s v="40"/>
    <x v="2"/>
    <n v="1.6"/>
    <m/>
    <x v="2"/>
    <n v="0.83"/>
    <n v="0.83"/>
  </r>
  <r>
    <s v="FL250496"/>
    <s v="Lance Lester"/>
    <s v="Lance Lester"/>
    <s v="male"/>
    <s v="Male"/>
    <n v="32"/>
    <x v="8"/>
    <x v="6"/>
    <x v="4"/>
    <n v="3"/>
    <x v="2"/>
    <n v="30"/>
    <s v="30"/>
    <x v="3"/>
    <n v="1.5"/>
    <s v="N"/>
    <x v="0"/>
    <n v="0.96"/>
    <n v="0.96"/>
  </r>
  <r>
    <s v="FL250497"/>
    <s v="Kevin Flores"/>
    <s v="Kevin Flores"/>
    <s v="m"/>
    <s v="Male"/>
    <n v="58"/>
    <x v="3"/>
    <x v="3"/>
    <x v="0"/>
    <n v="33"/>
    <x v="1"/>
    <m/>
    <m/>
    <x v="5"/>
    <n v="4.0999999999999996"/>
    <s v="Y"/>
    <x v="1"/>
    <n v="0.83"/>
    <n v="0.83"/>
  </r>
  <r>
    <s v="FL250498"/>
    <s v="Aaron Stewart PhD"/>
    <s v="Aaron Stewart PhD"/>
    <s v="male"/>
    <s v="Male"/>
    <n v="49"/>
    <x v="4"/>
    <x v="4"/>
    <x v="5"/>
    <n v="24"/>
    <x v="1"/>
    <n v="100"/>
    <n v="100"/>
    <x v="0"/>
    <n v="4.7"/>
    <n v="0"/>
    <x v="0"/>
    <n v="0.6"/>
    <n v="0.6"/>
  </r>
  <r>
    <s v="FL250499"/>
    <s v="Robin Moore"/>
    <s v="Robin Moore"/>
    <s v="FEMALE"/>
    <s v="Female"/>
    <n v="22"/>
    <x v="13"/>
    <x v="11"/>
    <x v="6"/>
    <n v="3"/>
    <x v="2"/>
    <s v="USD 100"/>
    <s v="100"/>
    <x v="0"/>
    <n v="3.6"/>
    <n v="1"/>
    <x v="1"/>
    <n v="0.78"/>
    <n v="0.78"/>
  </r>
  <r>
    <s v="FL250500"/>
    <s v="Suzanne Ingram"/>
    <s v="Suzanne Ingram"/>
    <s v="f"/>
    <s v="Female"/>
    <n v="40"/>
    <x v="16"/>
    <x v="13"/>
    <x v="3"/>
    <n v="11"/>
    <x v="0"/>
    <n v="20"/>
    <s v="20"/>
    <x v="6"/>
    <n v="1.8"/>
    <n v="1"/>
    <x v="1"/>
    <n v="0.9"/>
    <n v="0.9"/>
  </r>
  <r>
    <s v="FL250501"/>
    <s v="Jacob Mclaughlin"/>
    <s v="Jacob Mclaughlin"/>
    <s v="m"/>
    <s v="Male"/>
    <n v="55"/>
    <x v="1"/>
    <x v="1"/>
    <x v="5"/>
    <n v="7"/>
    <x v="3"/>
    <s v="USD 100"/>
    <s v="100"/>
    <x v="0"/>
    <n v="2.1"/>
    <n v="0"/>
    <x v="0"/>
    <n v="0.66"/>
    <n v="0.66"/>
  </r>
  <r>
    <s v="FL250502"/>
    <s v="Michael Nunez"/>
    <s v="Michael Nunez"/>
    <s v="m"/>
    <s v="Male"/>
    <n v="32"/>
    <x v="19"/>
    <x v="6"/>
    <x v="8"/>
    <n v="1"/>
    <x v="2"/>
    <n v="50"/>
    <s v="50"/>
    <x v="1"/>
    <m/>
    <s v="yes"/>
    <x v="1"/>
    <n v="0.7"/>
    <n v="0.7"/>
  </r>
  <r>
    <s v="FL250503"/>
    <s v="Isabel Brown"/>
    <s v="Isabel Brown"/>
    <s v="FEMALE"/>
    <s v="Female"/>
    <n v="21"/>
    <x v="9"/>
    <x v="7"/>
    <x v="6"/>
    <n v="0"/>
    <x v="2"/>
    <s v="USD 30"/>
    <s v="30"/>
    <x v="3"/>
    <n v="4.2"/>
    <s v="yes"/>
    <x v="1"/>
    <n v="0.79"/>
    <n v="0.79"/>
  </r>
  <r>
    <s v="FL250504"/>
    <s v="Michael Stein"/>
    <s v="Michael Stein"/>
    <s v="m"/>
    <s v="Male"/>
    <n v="23"/>
    <x v="12"/>
    <x v="10"/>
    <x v="0"/>
    <n v="1"/>
    <x v="2"/>
    <n v="40"/>
    <n v="40"/>
    <x v="2"/>
    <n v="0"/>
    <n v="0"/>
    <x v="0"/>
    <n v="0.64"/>
    <n v="0.64"/>
  </r>
  <r>
    <s v="FL250505"/>
    <s v="Robert Stone"/>
    <s v="Robert Stone"/>
    <s v="male"/>
    <s v="Male"/>
    <n v="21"/>
    <x v="7"/>
    <x v="1"/>
    <x v="1"/>
    <n v="1"/>
    <x v="2"/>
    <s v="USD 30"/>
    <s v="30"/>
    <x v="3"/>
    <n v="1"/>
    <s v="N"/>
    <x v="0"/>
    <n v="0.81"/>
    <n v="0.81"/>
  </r>
  <r>
    <s v="FL250506"/>
    <s v="Dillon Henry"/>
    <s v="Dillon Henry"/>
    <s v="male"/>
    <s v="Male"/>
    <n v="31"/>
    <x v="8"/>
    <x v="6"/>
    <x v="4"/>
    <n v="7"/>
    <x v="3"/>
    <n v="75"/>
    <n v="75"/>
    <x v="4"/>
    <n v="4.4000000000000004"/>
    <n v="0"/>
    <x v="0"/>
    <n v="0.83"/>
    <n v="0.83"/>
  </r>
  <r>
    <s v="FL250507"/>
    <s v="James Todd"/>
    <s v="James Todd"/>
    <s v="m"/>
    <s v="Male"/>
    <n v="21"/>
    <x v="19"/>
    <x v="6"/>
    <x v="0"/>
    <m/>
    <x v="2"/>
    <n v="40"/>
    <n v="40"/>
    <x v="2"/>
    <n v="4"/>
    <n v="0"/>
    <x v="0"/>
    <n v="0.91"/>
    <n v="0.91"/>
  </r>
  <r>
    <s v="FL250508"/>
    <s v="Clifford Moore MD"/>
    <s v="Clifford Moore MD"/>
    <s v="male"/>
    <s v="Male"/>
    <n v="33"/>
    <x v="7"/>
    <x v="1"/>
    <x v="7"/>
    <n v="6"/>
    <x v="3"/>
    <s v="USD 50"/>
    <s v="50"/>
    <x v="1"/>
    <n v="3.1"/>
    <s v="N"/>
    <x v="0"/>
    <m/>
    <m/>
  </r>
  <r>
    <s v="FL250509"/>
    <s v="John Rios"/>
    <s v="John Rios"/>
    <s v="m"/>
    <s v="Male"/>
    <n v="57"/>
    <x v="11"/>
    <x v="9"/>
    <x v="3"/>
    <n v="5"/>
    <x v="2"/>
    <n v="75"/>
    <n v="75"/>
    <x v="4"/>
    <n v="1.1000000000000001"/>
    <b v="1"/>
    <x v="1"/>
    <n v="0.77"/>
    <n v="0.77"/>
  </r>
  <r>
    <s v="FL250510"/>
    <s v="Anthony Gaines"/>
    <s v="Anthony Gaines"/>
    <s v="m"/>
    <s v="Male"/>
    <n v="52"/>
    <x v="5"/>
    <x v="1"/>
    <x v="8"/>
    <n v="17"/>
    <x v="4"/>
    <s v="USD 75"/>
    <s v="75"/>
    <x v="4"/>
    <n v="0"/>
    <n v="0"/>
    <x v="0"/>
    <n v="0.94"/>
    <n v="0.94"/>
  </r>
  <r>
    <s v="FL250511"/>
    <s v="Kristi Brown DVM"/>
    <s v="Kristi Brown DVM"/>
    <s v="FEMALE"/>
    <s v="Female"/>
    <n v="21"/>
    <x v="2"/>
    <x v="2"/>
    <x v="3"/>
    <n v="0"/>
    <x v="2"/>
    <n v="20"/>
    <s v="20"/>
    <x v="6"/>
    <n v="3.8"/>
    <n v="1"/>
    <x v="1"/>
    <n v="0.61"/>
    <n v="0.61"/>
  </r>
  <r>
    <s v="FL250512"/>
    <s v="Ashley Odonnell"/>
    <s v="Ashley Odonnell"/>
    <s v="FEMALE"/>
    <s v="Female"/>
    <n v="36"/>
    <x v="8"/>
    <x v="6"/>
    <x v="6"/>
    <n v="8"/>
    <x v="3"/>
    <n v="100"/>
    <n v="100"/>
    <x v="0"/>
    <n v="1.7"/>
    <s v="N"/>
    <x v="0"/>
    <n v="0.68"/>
    <n v="0.68"/>
  </r>
  <r>
    <s v="FL250513"/>
    <s v="Ronald Elliott"/>
    <s v="Ronald Elliott"/>
    <s v="male"/>
    <s v="Male"/>
    <n v="33"/>
    <x v="20"/>
    <x v="6"/>
    <x v="9"/>
    <n v="13"/>
    <x v="0"/>
    <n v="50"/>
    <n v="50"/>
    <x v="1"/>
    <n v="2.2000000000000002"/>
    <s v="N"/>
    <x v="0"/>
    <n v="0.7"/>
    <n v="0.7"/>
  </r>
  <r>
    <s v="FL250514"/>
    <s v="Lorraine Lowery"/>
    <s v="Lorraine Lowery"/>
    <s v="f"/>
    <s v="Female"/>
    <n v="54"/>
    <x v="7"/>
    <x v="1"/>
    <x v="5"/>
    <n v="15"/>
    <x v="0"/>
    <n v="40"/>
    <n v="40"/>
    <x v="2"/>
    <n v="4.0999999999999996"/>
    <b v="1"/>
    <x v="1"/>
    <n v="71"/>
    <n v="0.71"/>
  </r>
  <r>
    <s v="FL250515"/>
    <s v="Victoria Chapman"/>
    <s v="Victoria Chapman"/>
    <s v="FEMALE"/>
    <s v="Female"/>
    <n v="33"/>
    <x v="5"/>
    <x v="1"/>
    <x v="0"/>
    <n v="2"/>
    <x v="2"/>
    <s v="USD 100"/>
    <s v="100"/>
    <x v="0"/>
    <n v="3.8"/>
    <b v="0"/>
    <x v="0"/>
    <m/>
    <m/>
  </r>
  <r>
    <s v="FL250516"/>
    <s v="Heather Davis"/>
    <s v="Heather Davis"/>
    <s v="FEMALE"/>
    <s v="Female"/>
    <n v="36"/>
    <x v="9"/>
    <x v="7"/>
    <x v="9"/>
    <n v="9"/>
    <x v="3"/>
    <n v="30"/>
    <s v="30"/>
    <x v="3"/>
    <n v="0"/>
    <s v="yes"/>
    <x v="1"/>
    <n v="0.78"/>
    <n v="0.78"/>
  </r>
  <r>
    <s v="FL250517"/>
    <s v="Diana Chase"/>
    <s v="Diana Chase"/>
    <s v="FEMALE"/>
    <s v="Female"/>
    <n v="36"/>
    <x v="6"/>
    <x v="5"/>
    <x v="4"/>
    <n v="3"/>
    <x v="2"/>
    <s v="USD 50"/>
    <s v="50"/>
    <x v="1"/>
    <n v="0"/>
    <s v="no"/>
    <x v="0"/>
    <n v="75"/>
    <n v="0.75"/>
  </r>
  <r>
    <s v="FL250518"/>
    <s v="Danielle Adkins"/>
    <s v="Danielle Adkins"/>
    <s v="f"/>
    <s v="Female"/>
    <n v="43"/>
    <x v="18"/>
    <x v="15"/>
    <x v="4"/>
    <n v="15"/>
    <x v="0"/>
    <n v="20"/>
    <s v="20"/>
    <x v="6"/>
    <n v="4.2"/>
    <b v="1"/>
    <x v="1"/>
    <n v="0.91"/>
    <n v="0.91"/>
  </r>
  <r>
    <s v="FL250519"/>
    <s v="Kenneth Arias"/>
    <s v="Kenneth Arias"/>
    <s v="male"/>
    <s v="Male"/>
    <n v="52"/>
    <x v="7"/>
    <x v="1"/>
    <x v="5"/>
    <n v="21"/>
    <x v="1"/>
    <s v="USD 75"/>
    <s v="75"/>
    <x v="4"/>
    <n v="2.2000000000000002"/>
    <n v="1"/>
    <x v="1"/>
    <n v="0.66"/>
    <n v="0.66"/>
  </r>
  <r>
    <s v="FL250520"/>
    <s v="Victoria Owen"/>
    <s v="Victoria Owen"/>
    <s v="f"/>
    <s v="Female"/>
    <n v="28"/>
    <x v="4"/>
    <x v="4"/>
    <x v="7"/>
    <n v="2"/>
    <x v="2"/>
    <s v="USD 75"/>
    <s v="75"/>
    <x v="4"/>
    <n v="1.5"/>
    <n v="1"/>
    <x v="1"/>
    <n v="0.68"/>
    <n v="0.68"/>
  </r>
  <r>
    <s v="FL250521"/>
    <s v="Christina King"/>
    <s v="Christina King"/>
    <s v="FEMALE"/>
    <s v="Female"/>
    <n v="47"/>
    <x v="18"/>
    <x v="15"/>
    <x v="7"/>
    <n v="21"/>
    <x v="1"/>
    <n v="100"/>
    <s v="100"/>
    <x v="0"/>
    <n v="0"/>
    <s v="N"/>
    <x v="0"/>
    <m/>
    <m/>
  </r>
  <r>
    <s v="FL250522"/>
    <s v="Samantha King"/>
    <s v="Samantha King"/>
    <s v="FEMALE"/>
    <s v="Female"/>
    <n v="30"/>
    <x v="15"/>
    <x v="12"/>
    <x v="8"/>
    <n v="0"/>
    <x v="2"/>
    <s v="USD 100"/>
    <s v="100"/>
    <x v="0"/>
    <n v="4.0999999999999996"/>
    <n v="0"/>
    <x v="0"/>
    <n v="0.62"/>
    <n v="0.62"/>
  </r>
  <r>
    <s v="FL250523"/>
    <s v="Scott Compton"/>
    <s v="Scott Compton"/>
    <s v="m"/>
    <s v="Male"/>
    <n v="36"/>
    <x v="16"/>
    <x v="13"/>
    <x v="0"/>
    <n v="4"/>
    <x v="2"/>
    <n v="40"/>
    <n v="40"/>
    <x v="2"/>
    <n v="2.6"/>
    <s v="no"/>
    <x v="0"/>
    <n v="0.9"/>
    <n v="0.9"/>
  </r>
  <r>
    <s v="FL250524"/>
    <s v="Monica West"/>
    <s v="Monica West"/>
    <s v="FEMALE"/>
    <s v="Female"/>
    <n v="45"/>
    <x v="5"/>
    <x v="1"/>
    <x v="6"/>
    <n v="23"/>
    <x v="1"/>
    <n v="100"/>
    <n v="100"/>
    <x v="0"/>
    <n v="2.4"/>
    <b v="0"/>
    <x v="0"/>
    <n v="0.96"/>
    <n v="0.96"/>
  </r>
  <r>
    <s v="FL250525"/>
    <s v="Theresa Stewart"/>
    <s v="Theresa Stewart"/>
    <s v="f"/>
    <s v="Female"/>
    <n v="51"/>
    <x v="5"/>
    <x v="1"/>
    <x v="0"/>
    <n v="25"/>
    <x v="1"/>
    <n v="50"/>
    <n v="50"/>
    <x v="1"/>
    <n v="1.4"/>
    <s v="Y"/>
    <x v="1"/>
    <n v="0.6"/>
    <n v="0.6"/>
  </r>
  <r>
    <s v="FL250526"/>
    <s v="Steven Kim"/>
    <s v="Steven Kim"/>
    <s v="m"/>
    <s v="Male"/>
    <n v="46"/>
    <x v="6"/>
    <x v="5"/>
    <x v="1"/>
    <n v="10"/>
    <x v="3"/>
    <m/>
    <m/>
    <x v="5"/>
    <n v="4.5999999999999996"/>
    <s v="Y"/>
    <x v="1"/>
    <n v="0.62"/>
    <n v="0.62"/>
  </r>
  <r>
    <s v="FL250527"/>
    <s v="Kristi Knight"/>
    <s v="Kristi Knight"/>
    <s v="FEMALE"/>
    <s v="Female"/>
    <n v="38"/>
    <x v="0"/>
    <x v="0"/>
    <x v="5"/>
    <n v="18"/>
    <x v="4"/>
    <s v="USD 40"/>
    <s v="40"/>
    <x v="2"/>
    <n v="4.9000000000000004"/>
    <b v="0"/>
    <x v="0"/>
    <n v="0.74"/>
    <n v="0.74"/>
  </r>
  <r>
    <s v="FL250528"/>
    <s v="Jason Bryant"/>
    <s v="Jason Bryant"/>
    <s v="male"/>
    <s v="Male"/>
    <n v="26"/>
    <x v="20"/>
    <x v="6"/>
    <x v="0"/>
    <n v="1"/>
    <x v="2"/>
    <n v="20"/>
    <s v="20"/>
    <x v="6"/>
    <n v="0"/>
    <n v="1"/>
    <x v="1"/>
    <m/>
    <m/>
  </r>
  <r>
    <s v="FL250529"/>
    <s v="Maureen Keith"/>
    <s v="Maureen Keith"/>
    <s v="FEMALE"/>
    <s v="Female"/>
    <n v="40"/>
    <x v="7"/>
    <x v="1"/>
    <x v="8"/>
    <n v="12"/>
    <x v="0"/>
    <n v="30"/>
    <n v="30"/>
    <x v="3"/>
    <n v="3.5"/>
    <m/>
    <x v="2"/>
    <n v="0.98"/>
    <n v="0.98"/>
  </r>
  <r>
    <s v="FL250530"/>
    <s v="Shawn Hogan"/>
    <s v="Shawn Hogan"/>
    <s v="male"/>
    <s v="Male"/>
    <n v="37"/>
    <x v="2"/>
    <x v="2"/>
    <x v="9"/>
    <m/>
    <x v="2"/>
    <m/>
    <m/>
    <x v="5"/>
    <n v="1.7"/>
    <s v="yes"/>
    <x v="1"/>
    <n v="0.63"/>
    <n v="0.63"/>
  </r>
  <r>
    <s v="FL250531"/>
    <s v="William Davis"/>
    <s v="William Davis"/>
    <s v="m"/>
    <s v="Male"/>
    <n v="28"/>
    <x v="14"/>
    <x v="1"/>
    <x v="0"/>
    <n v="5"/>
    <x v="2"/>
    <n v="50"/>
    <s v="50"/>
    <x v="1"/>
    <n v="0"/>
    <s v="yes"/>
    <x v="1"/>
    <n v="96"/>
    <n v="0.96"/>
  </r>
  <r>
    <s v="FL250532"/>
    <s v="Stacy Bailey"/>
    <s v="Stacy Bailey"/>
    <s v="FEMALE"/>
    <s v="Female"/>
    <n v="48"/>
    <x v="10"/>
    <x v="8"/>
    <x v="1"/>
    <n v="28"/>
    <x v="1"/>
    <s v="USD 20"/>
    <s v="20"/>
    <x v="6"/>
    <n v="0"/>
    <n v="0"/>
    <x v="0"/>
    <n v="0.88"/>
    <n v="0.88"/>
  </r>
  <r>
    <s v="FL250533"/>
    <s v="Thomas Dixon"/>
    <s v="Thomas Dixon"/>
    <s v="male"/>
    <s v="Male"/>
    <n v="22"/>
    <x v="10"/>
    <x v="8"/>
    <x v="4"/>
    <n v="0"/>
    <x v="2"/>
    <m/>
    <m/>
    <x v="5"/>
    <n v="4.5999999999999996"/>
    <b v="0"/>
    <x v="0"/>
    <m/>
    <m/>
  </r>
  <r>
    <s v="FL250534"/>
    <s v="Maria Hall"/>
    <s v="Maria Hall"/>
    <s v="FEMALE"/>
    <s v="Female"/>
    <n v="41"/>
    <x v="2"/>
    <x v="2"/>
    <x v="3"/>
    <n v="14"/>
    <x v="0"/>
    <n v="40"/>
    <n v="40"/>
    <x v="2"/>
    <n v="1.1000000000000001"/>
    <b v="1"/>
    <x v="1"/>
    <n v="0.73"/>
    <n v="0.73"/>
  </r>
  <r>
    <s v="FL250535"/>
    <s v="Tony Lee"/>
    <s v="Tony Lee"/>
    <s v="male"/>
    <s v="Male"/>
    <n v="38"/>
    <x v="5"/>
    <x v="1"/>
    <x v="2"/>
    <n v="15"/>
    <x v="0"/>
    <m/>
    <m/>
    <x v="5"/>
    <n v="4.2"/>
    <n v="0"/>
    <x v="0"/>
    <n v="0.88"/>
    <n v="0.88"/>
  </r>
  <r>
    <s v="FL250536"/>
    <s v="Catherine Mccoy MD"/>
    <s v="Catherine Mccoy MD"/>
    <s v="FEMALE"/>
    <s v="Female"/>
    <n v="31"/>
    <x v="17"/>
    <x v="14"/>
    <x v="6"/>
    <n v="9"/>
    <x v="3"/>
    <m/>
    <m/>
    <x v="5"/>
    <n v="0"/>
    <b v="0"/>
    <x v="0"/>
    <n v="0.91"/>
    <n v="0.91"/>
  </r>
  <r>
    <s v="FL250537"/>
    <s v="Maria Benitez"/>
    <s v="Maria Benitez"/>
    <s v="f"/>
    <s v="Female"/>
    <n v="30"/>
    <x v="18"/>
    <x v="15"/>
    <x v="1"/>
    <n v="9"/>
    <x v="3"/>
    <n v="30"/>
    <s v="30"/>
    <x v="3"/>
    <n v="3.9"/>
    <s v="no"/>
    <x v="0"/>
    <n v="0.65"/>
    <n v="0.65"/>
  </r>
  <r>
    <s v="FL250538"/>
    <s v="Joshua Chambers"/>
    <s v="Joshua Chambers"/>
    <s v="male"/>
    <s v="Male"/>
    <n v="51"/>
    <x v="19"/>
    <x v="6"/>
    <x v="6"/>
    <n v="22"/>
    <x v="1"/>
    <n v="20"/>
    <n v="20"/>
    <x v="6"/>
    <n v="3.4"/>
    <b v="1"/>
    <x v="1"/>
    <n v="90"/>
    <n v="0.9"/>
  </r>
  <r>
    <s v="FL250539"/>
    <s v="Janice Daniels"/>
    <s v="Janice Daniels"/>
    <s v="f"/>
    <s v="Female"/>
    <n v="21"/>
    <x v="2"/>
    <x v="2"/>
    <x v="8"/>
    <n v="0"/>
    <x v="2"/>
    <n v="20"/>
    <s v="20"/>
    <x v="6"/>
    <n v="2.6"/>
    <s v="N"/>
    <x v="0"/>
    <n v="0.72"/>
    <n v="0.72"/>
  </r>
  <r>
    <s v="FL250540"/>
    <s v="Carla Wood"/>
    <s v="Carla Wood"/>
    <s v="FEMALE"/>
    <s v="Female"/>
    <n v="20"/>
    <x v="0"/>
    <x v="0"/>
    <x v="8"/>
    <n v="1"/>
    <x v="2"/>
    <s v="USD 40"/>
    <s v="40"/>
    <x v="2"/>
    <n v="2.2999999999999998"/>
    <n v="1"/>
    <x v="1"/>
    <n v="0.72"/>
    <n v="0.72"/>
  </r>
  <r>
    <s v="FL250541"/>
    <s v="Kenneth Vasquez"/>
    <s v="Kenneth Vasquez"/>
    <s v="male"/>
    <s v="Male"/>
    <n v="30"/>
    <x v="9"/>
    <x v="7"/>
    <x v="0"/>
    <n v="5"/>
    <x v="2"/>
    <n v="30"/>
    <s v="30"/>
    <x v="3"/>
    <n v="4.8"/>
    <s v="N"/>
    <x v="0"/>
    <m/>
    <m/>
  </r>
  <r>
    <s v="FL250542"/>
    <s v="Kevin Smith"/>
    <s v="Kevin Smith"/>
    <s v="male"/>
    <s v="Male"/>
    <n v="41"/>
    <x v="18"/>
    <x v="15"/>
    <x v="5"/>
    <n v="0"/>
    <x v="2"/>
    <s v="USD 40"/>
    <s v="40"/>
    <x v="2"/>
    <n v="4.5"/>
    <s v="N"/>
    <x v="0"/>
    <n v="0.68"/>
    <n v="0.68"/>
  </r>
  <r>
    <s v="FL250543"/>
    <s v="Thomas Kim"/>
    <s v="Thomas Kim"/>
    <s v="male"/>
    <s v="Male"/>
    <n v="22"/>
    <x v="20"/>
    <x v="6"/>
    <x v="0"/>
    <n v="0"/>
    <x v="2"/>
    <n v="30"/>
    <s v="30"/>
    <x v="3"/>
    <n v="0"/>
    <n v="0"/>
    <x v="0"/>
    <n v="0.87"/>
    <n v="0.87"/>
  </r>
  <r>
    <s v="FL250544"/>
    <s v="Sean Park"/>
    <s v="Sean Park"/>
    <s v="male"/>
    <s v="Male"/>
    <n v="45"/>
    <x v="19"/>
    <x v="6"/>
    <x v="7"/>
    <n v="19"/>
    <x v="4"/>
    <n v="75"/>
    <n v="75"/>
    <x v="4"/>
    <n v="0"/>
    <s v="no"/>
    <x v="0"/>
    <n v="0.72"/>
    <n v="0.72"/>
  </r>
  <r>
    <s v="FL250545"/>
    <s v="Judith Poole"/>
    <s v="Judith Poole"/>
    <s v="FEMALE"/>
    <s v="Female"/>
    <n v="22"/>
    <x v="1"/>
    <x v="1"/>
    <x v="5"/>
    <n v="2"/>
    <x v="2"/>
    <n v="40"/>
    <n v="40"/>
    <x v="2"/>
    <n v="1.1000000000000001"/>
    <s v="no"/>
    <x v="0"/>
    <n v="0.76"/>
    <n v="0.76"/>
  </r>
  <r>
    <s v="FL250546"/>
    <s v="Melanie Baird"/>
    <s v="Melanie Baird"/>
    <s v="f"/>
    <s v="Female"/>
    <n v="20"/>
    <x v="6"/>
    <x v="5"/>
    <x v="1"/>
    <n v="0"/>
    <x v="2"/>
    <n v="100"/>
    <n v="100"/>
    <x v="0"/>
    <n v="0"/>
    <n v="0"/>
    <x v="0"/>
    <n v="63"/>
    <n v="0.63"/>
  </r>
  <r>
    <s v="FL250547"/>
    <s v="Erika Mitchell"/>
    <s v="Erika Mitchell"/>
    <s v="FEMALE"/>
    <s v="Female"/>
    <n v="20"/>
    <x v="14"/>
    <x v="1"/>
    <x v="5"/>
    <n v="2"/>
    <x v="2"/>
    <n v="40"/>
    <n v="40"/>
    <x v="2"/>
    <m/>
    <n v="1"/>
    <x v="1"/>
    <n v="0.91"/>
    <n v="0.91"/>
  </r>
  <r>
    <s v="FL250548"/>
    <s v="Ricky Martinez"/>
    <s v="Ricky Martinez"/>
    <s v="m"/>
    <s v="Male"/>
    <n v="21"/>
    <x v="7"/>
    <x v="1"/>
    <x v="4"/>
    <n v="0"/>
    <x v="2"/>
    <n v="100"/>
    <n v="100"/>
    <x v="0"/>
    <m/>
    <n v="0"/>
    <x v="0"/>
    <n v="0.73"/>
    <n v="0.73"/>
  </r>
  <r>
    <s v="FL250549"/>
    <s v="John Christian"/>
    <s v="John Christian"/>
    <s v="male"/>
    <s v="Male"/>
    <n v="22"/>
    <x v="3"/>
    <x v="3"/>
    <x v="7"/>
    <n v="1"/>
    <x v="2"/>
    <n v="40"/>
    <n v="40"/>
    <x v="2"/>
    <n v="0"/>
    <n v="0"/>
    <x v="0"/>
    <n v="0.63"/>
    <n v="0.63"/>
  </r>
  <r>
    <s v="FL250550"/>
    <s v="Nancy Smith"/>
    <s v="Nancy Smith"/>
    <s v="f"/>
    <s v="Female"/>
    <n v="28"/>
    <x v="7"/>
    <x v="1"/>
    <x v="8"/>
    <n v="3"/>
    <x v="2"/>
    <s v="USD 20"/>
    <s v="20"/>
    <x v="6"/>
    <m/>
    <n v="1"/>
    <x v="1"/>
    <n v="0.79"/>
    <n v="0.79"/>
  </r>
  <r>
    <s v="FL250551"/>
    <s v="Cassandra Stephens"/>
    <s v="Cassandra Stephens"/>
    <s v="f"/>
    <s v="Female"/>
    <n v="59"/>
    <x v="8"/>
    <x v="6"/>
    <x v="4"/>
    <m/>
    <x v="2"/>
    <n v="20"/>
    <n v="20"/>
    <x v="6"/>
    <n v="4.0999999999999996"/>
    <n v="0"/>
    <x v="0"/>
    <n v="75"/>
    <n v="0.75"/>
  </r>
  <r>
    <s v="FL250552"/>
    <s v="Miss Janet Donovan MD"/>
    <s v="Miss Janet Donovan MD"/>
    <s v="FEMALE"/>
    <s v="Female"/>
    <n v="28"/>
    <x v="15"/>
    <x v="12"/>
    <x v="3"/>
    <n v="1"/>
    <x v="2"/>
    <m/>
    <m/>
    <x v="5"/>
    <n v="0"/>
    <n v="0"/>
    <x v="0"/>
    <n v="0.7"/>
    <n v="0.7"/>
  </r>
  <r>
    <s v="FL250553"/>
    <s v="Kristina Williams"/>
    <s v="Kristina Williams"/>
    <s v="f"/>
    <s v="Female"/>
    <n v="40"/>
    <x v="1"/>
    <x v="1"/>
    <x v="8"/>
    <n v="0"/>
    <x v="2"/>
    <n v="100"/>
    <s v="100"/>
    <x v="0"/>
    <n v="1.2"/>
    <m/>
    <x v="2"/>
    <n v="0.87"/>
    <n v="0.87"/>
  </r>
  <r>
    <s v="FL250554"/>
    <s v="Wayne Barnes"/>
    <s v="Wayne Barnes"/>
    <s v="m"/>
    <s v="Male"/>
    <n v="57"/>
    <x v="0"/>
    <x v="0"/>
    <x v="0"/>
    <n v="7"/>
    <x v="3"/>
    <n v="30"/>
    <n v="30"/>
    <x v="3"/>
    <n v="1.6"/>
    <s v="no"/>
    <x v="0"/>
    <m/>
    <m/>
  </r>
  <r>
    <s v="FL250555"/>
    <s v="James Hinton"/>
    <s v="James Hinton"/>
    <s v="male"/>
    <s v="Male"/>
    <n v="47"/>
    <x v="6"/>
    <x v="5"/>
    <x v="8"/>
    <n v="1"/>
    <x v="2"/>
    <n v="50"/>
    <n v="50"/>
    <x v="1"/>
    <n v="3.9"/>
    <s v="Y"/>
    <x v="1"/>
    <n v="0.88"/>
    <n v="0.88"/>
  </r>
  <r>
    <s v="FL250556"/>
    <s v="David Spence"/>
    <s v="David Spence"/>
    <s v="male"/>
    <s v="Male"/>
    <n v="48"/>
    <x v="12"/>
    <x v="10"/>
    <x v="7"/>
    <n v="21"/>
    <x v="1"/>
    <n v="40"/>
    <n v="40"/>
    <x v="2"/>
    <n v="0"/>
    <n v="1"/>
    <x v="1"/>
    <m/>
    <m/>
  </r>
  <r>
    <s v="FL250557"/>
    <s v="Tyler Cooper"/>
    <s v="Tyler Cooper"/>
    <s v="male"/>
    <s v="Male"/>
    <n v="28"/>
    <x v="5"/>
    <x v="1"/>
    <x v="6"/>
    <n v="1"/>
    <x v="2"/>
    <s v="USD 20"/>
    <s v="20"/>
    <x v="6"/>
    <n v="4.7"/>
    <b v="0"/>
    <x v="0"/>
    <n v="0.93"/>
    <n v="0.93"/>
  </r>
  <r>
    <s v="FL250558"/>
    <s v="Sean Martinez"/>
    <s v="Sean Martinez"/>
    <s v="m"/>
    <s v="Male"/>
    <n v="41"/>
    <x v="6"/>
    <x v="5"/>
    <x v="2"/>
    <n v="15"/>
    <x v="0"/>
    <m/>
    <m/>
    <x v="5"/>
    <n v="3.8"/>
    <n v="1"/>
    <x v="1"/>
    <m/>
    <m/>
  </r>
  <r>
    <s v="FL250559"/>
    <s v="Janet Barron"/>
    <s v="Janet Barron"/>
    <s v="f"/>
    <s v="Female"/>
    <n v="57"/>
    <x v="17"/>
    <x v="14"/>
    <x v="7"/>
    <n v="33"/>
    <x v="1"/>
    <n v="100"/>
    <n v="100"/>
    <x v="0"/>
    <n v="3.5"/>
    <s v="no"/>
    <x v="0"/>
    <n v="0.74"/>
    <n v="0.74"/>
  </r>
  <r>
    <s v="FL250560"/>
    <s v="Rodney Wilson"/>
    <s v="Rodney Wilson"/>
    <s v="male"/>
    <s v="Male"/>
    <n v="60"/>
    <x v="8"/>
    <x v="6"/>
    <x v="2"/>
    <n v="39"/>
    <x v="1"/>
    <s v="USD 75"/>
    <s v="75"/>
    <x v="4"/>
    <n v="4"/>
    <m/>
    <x v="2"/>
    <n v="0.7"/>
    <n v="0.7"/>
  </r>
  <r>
    <s v="FL250561"/>
    <s v="Kimberly Fitzgerald"/>
    <s v="Kimberly Fitzgerald"/>
    <s v="FEMALE"/>
    <s v="Female"/>
    <n v="48"/>
    <x v="16"/>
    <x v="13"/>
    <x v="2"/>
    <n v="21"/>
    <x v="1"/>
    <n v="30"/>
    <n v="30"/>
    <x v="3"/>
    <n v="1.6"/>
    <s v="Y"/>
    <x v="1"/>
    <n v="0.67"/>
    <n v="0.67"/>
  </r>
  <r>
    <s v="FL250562"/>
    <s v="Nicole Davis"/>
    <s v="Nicole Davis"/>
    <s v="FEMALE"/>
    <s v="Female"/>
    <n v="24"/>
    <x v="15"/>
    <x v="12"/>
    <x v="7"/>
    <n v="5"/>
    <x v="2"/>
    <n v="40"/>
    <n v="40"/>
    <x v="2"/>
    <n v="3"/>
    <s v="no"/>
    <x v="0"/>
    <n v="0.86"/>
    <n v="0.86"/>
  </r>
  <r>
    <s v="FL250563"/>
    <s v="Elizabeth Hayes"/>
    <s v="Elizabeth Hayes"/>
    <s v="FEMALE"/>
    <s v="Female"/>
    <n v="33"/>
    <x v="19"/>
    <x v="6"/>
    <x v="8"/>
    <n v="11"/>
    <x v="0"/>
    <n v="50"/>
    <n v="50"/>
    <x v="1"/>
    <n v="5"/>
    <s v="yes"/>
    <x v="1"/>
    <n v="0.69"/>
    <n v="0.69"/>
  </r>
  <r>
    <s v="FL250564"/>
    <s v="Kathy Faulkner"/>
    <s v="Kathy Faulkner"/>
    <s v="FEMALE"/>
    <s v="Female"/>
    <n v="20"/>
    <x v="6"/>
    <x v="5"/>
    <x v="2"/>
    <n v="0"/>
    <x v="2"/>
    <n v="30"/>
    <n v="30"/>
    <x v="3"/>
    <n v="4.8"/>
    <s v="yes"/>
    <x v="1"/>
    <n v="0.68"/>
    <n v="0.68"/>
  </r>
  <r>
    <s v="FL250565"/>
    <s v="John Gonzales"/>
    <s v="John Gonzales"/>
    <s v="male"/>
    <s v="Male"/>
    <n v="59"/>
    <x v="7"/>
    <x v="1"/>
    <x v="8"/>
    <n v="15"/>
    <x v="0"/>
    <n v="50"/>
    <s v="50"/>
    <x v="1"/>
    <m/>
    <s v="no"/>
    <x v="0"/>
    <m/>
    <m/>
  </r>
  <r>
    <s v="FL250566"/>
    <s v="Shannon Luna"/>
    <s v="Shannon Luna"/>
    <s v="FEMALE"/>
    <s v="Female"/>
    <n v="42"/>
    <x v="18"/>
    <x v="15"/>
    <x v="8"/>
    <n v="22"/>
    <x v="1"/>
    <m/>
    <m/>
    <x v="5"/>
    <n v="2.9"/>
    <n v="0"/>
    <x v="0"/>
    <n v="0.61"/>
    <n v="0.61"/>
  </r>
  <r>
    <s v="FL250567"/>
    <s v="Stephanie Burton"/>
    <s v="Stephanie Burton"/>
    <s v="FEMALE"/>
    <s v="Female"/>
    <n v="22"/>
    <x v="6"/>
    <x v="5"/>
    <x v="6"/>
    <n v="3"/>
    <x v="2"/>
    <m/>
    <m/>
    <x v="5"/>
    <n v="3"/>
    <b v="1"/>
    <x v="1"/>
    <n v="0.96"/>
    <n v="0.96"/>
  </r>
  <r>
    <s v="FL250568"/>
    <s v="Kevin Gonzales"/>
    <s v="Kevin Gonzales"/>
    <s v="m"/>
    <s v="Male"/>
    <n v="41"/>
    <x v="14"/>
    <x v="1"/>
    <x v="7"/>
    <n v="11"/>
    <x v="0"/>
    <n v="50"/>
    <n v="50"/>
    <x v="1"/>
    <n v="3.5"/>
    <n v="1"/>
    <x v="1"/>
    <n v="0.68"/>
    <n v="0.68"/>
  </r>
  <r>
    <s v="FL250569"/>
    <s v="Dawn Hardy"/>
    <s v="Dawn Hardy"/>
    <s v="FEMALE"/>
    <s v="Female"/>
    <n v="25"/>
    <x v="8"/>
    <x v="6"/>
    <x v="3"/>
    <n v="5"/>
    <x v="2"/>
    <n v="40"/>
    <n v="40"/>
    <x v="2"/>
    <m/>
    <b v="1"/>
    <x v="1"/>
    <n v="0.75"/>
    <n v="0.75"/>
  </r>
  <r>
    <s v="FL250570"/>
    <s v="Margaret Perkins"/>
    <s v="Margaret Perkins"/>
    <s v="f"/>
    <s v="Female"/>
    <n v="38"/>
    <x v="14"/>
    <x v="1"/>
    <x v="6"/>
    <n v="3"/>
    <x v="2"/>
    <n v="40"/>
    <n v="40"/>
    <x v="2"/>
    <n v="4.7"/>
    <n v="0"/>
    <x v="0"/>
    <n v="0.69"/>
    <n v="0.69"/>
  </r>
  <r>
    <s v="FL250571"/>
    <s v="Amanda Vargas"/>
    <s v="Amanda Vargas"/>
    <s v="FEMALE"/>
    <s v="Female"/>
    <n v="43"/>
    <x v="5"/>
    <x v="1"/>
    <x v="8"/>
    <n v="1"/>
    <x v="2"/>
    <m/>
    <m/>
    <x v="5"/>
    <n v="2.9"/>
    <s v="no"/>
    <x v="0"/>
    <n v="0.78"/>
    <n v="0.78"/>
  </r>
  <r>
    <s v="FL250572"/>
    <s v="Tonya Gonzalez"/>
    <s v="Tonya Gonzalez"/>
    <s v="f"/>
    <s v="Female"/>
    <n v="54"/>
    <x v="19"/>
    <x v="6"/>
    <x v="4"/>
    <n v="1"/>
    <x v="2"/>
    <n v="75"/>
    <n v="75"/>
    <x v="4"/>
    <n v="4.4000000000000004"/>
    <s v="Y"/>
    <x v="1"/>
    <m/>
    <m/>
  </r>
  <r>
    <s v="FL250573"/>
    <s v="Elizabeth Bowman"/>
    <s v="Elizabeth Bowman"/>
    <s v="f"/>
    <s v="Female"/>
    <n v="31"/>
    <x v="4"/>
    <x v="4"/>
    <x v="1"/>
    <n v="2"/>
    <x v="2"/>
    <n v="40"/>
    <n v="40"/>
    <x v="2"/>
    <n v="2.2999999999999998"/>
    <s v="N"/>
    <x v="0"/>
    <n v="0.98"/>
    <n v="0.98"/>
  </r>
  <r>
    <s v="FL250574"/>
    <s v="Ariana Pittman"/>
    <s v="Ariana Pittman"/>
    <s v="f"/>
    <s v="Female"/>
    <n v="56"/>
    <x v="19"/>
    <x v="6"/>
    <x v="4"/>
    <n v="3"/>
    <x v="2"/>
    <n v="30"/>
    <s v="30"/>
    <x v="3"/>
    <n v="3.7"/>
    <m/>
    <x v="2"/>
    <n v="0.83"/>
    <n v="0.83"/>
  </r>
  <r>
    <s v="FL250575"/>
    <s v="Antonio Johnson"/>
    <s v="Antonio Johnson"/>
    <s v="male"/>
    <s v="Male"/>
    <n v="46"/>
    <x v="19"/>
    <x v="6"/>
    <x v="2"/>
    <n v="11"/>
    <x v="0"/>
    <m/>
    <m/>
    <x v="5"/>
    <n v="1.8"/>
    <n v="1"/>
    <x v="1"/>
    <n v="0.91"/>
    <n v="0.91"/>
  </r>
  <r>
    <s v="FL250576"/>
    <s v="Justin Lang"/>
    <s v="Justin Lang"/>
    <s v="male"/>
    <s v="Male"/>
    <n v="60"/>
    <x v="16"/>
    <x v="13"/>
    <x v="4"/>
    <m/>
    <x v="2"/>
    <n v="100"/>
    <n v="100"/>
    <x v="0"/>
    <n v="0"/>
    <n v="1"/>
    <x v="1"/>
    <n v="0.96"/>
    <n v="0.96"/>
  </r>
  <r>
    <s v="FL250577"/>
    <s v="Kelli Ramirez"/>
    <s v="Kelli Ramirez"/>
    <s v="f"/>
    <s v="Female"/>
    <n v="28"/>
    <x v="12"/>
    <x v="10"/>
    <x v="2"/>
    <n v="2"/>
    <x v="2"/>
    <s v="USD 50"/>
    <s v="50"/>
    <x v="1"/>
    <m/>
    <n v="1"/>
    <x v="1"/>
    <n v="0.85"/>
    <n v="0.85"/>
  </r>
  <r>
    <s v="FL250578"/>
    <s v="Deborah Torres"/>
    <s v="Deborah Torres"/>
    <s v="f"/>
    <s v="Female"/>
    <n v="43"/>
    <x v="4"/>
    <x v="4"/>
    <x v="3"/>
    <n v="20"/>
    <x v="4"/>
    <s v="USD 30"/>
    <s v="30"/>
    <x v="3"/>
    <n v="2.7"/>
    <b v="0"/>
    <x v="0"/>
    <n v="0.72"/>
    <n v="0.72"/>
  </r>
  <r>
    <s v="FL250579"/>
    <s v="Joseph Horn"/>
    <s v="Joseph Horn"/>
    <s v="male"/>
    <s v="Male"/>
    <n v="41"/>
    <x v="15"/>
    <x v="12"/>
    <x v="3"/>
    <n v="11"/>
    <x v="0"/>
    <n v="20"/>
    <s v="20"/>
    <x v="6"/>
    <n v="4.7"/>
    <m/>
    <x v="2"/>
    <n v="0.69"/>
    <n v="0.69"/>
  </r>
  <r>
    <s v="FL250580"/>
    <s v="Christopher Robinson"/>
    <s v="Christopher Robinson"/>
    <s v="male"/>
    <s v="Male"/>
    <n v="41"/>
    <x v="7"/>
    <x v="1"/>
    <x v="8"/>
    <n v="0"/>
    <x v="2"/>
    <n v="20"/>
    <s v="20"/>
    <x v="6"/>
    <n v="3.1"/>
    <n v="0"/>
    <x v="0"/>
    <n v="90"/>
    <n v="0.9"/>
  </r>
  <r>
    <s v="FL250581"/>
    <s v="Sandra Mccormick"/>
    <s v="Sandra Mccormick"/>
    <s v="f"/>
    <s v="Female"/>
    <n v="40"/>
    <x v="7"/>
    <x v="1"/>
    <x v="1"/>
    <n v="20"/>
    <x v="4"/>
    <n v="20"/>
    <n v="20"/>
    <x v="6"/>
    <n v="2.2999999999999998"/>
    <n v="0"/>
    <x v="0"/>
    <n v="0.92"/>
    <n v="0.92"/>
  </r>
  <r>
    <s v="FL250582"/>
    <s v="Michael Holland"/>
    <s v="Michael Holland"/>
    <s v="male"/>
    <s v="Male"/>
    <n v="45"/>
    <x v="2"/>
    <x v="2"/>
    <x v="8"/>
    <n v="3"/>
    <x v="2"/>
    <s v="USD 20"/>
    <s v="20"/>
    <x v="6"/>
    <n v="1.3"/>
    <s v="Y"/>
    <x v="1"/>
    <n v="0.91"/>
    <n v="0.91"/>
  </r>
  <r>
    <s v="FL250583"/>
    <s v="Kenneth Stevenson"/>
    <s v="Kenneth Stevenson"/>
    <s v="male"/>
    <s v="Male"/>
    <n v="47"/>
    <x v="16"/>
    <x v="13"/>
    <x v="8"/>
    <n v="28"/>
    <x v="1"/>
    <s v="USD 50"/>
    <s v="50"/>
    <x v="1"/>
    <n v="2.9"/>
    <b v="1"/>
    <x v="1"/>
    <m/>
    <m/>
  </r>
  <r>
    <s v="FL250584"/>
    <s v="Timothy Bennett"/>
    <s v="Timothy Bennett"/>
    <s v="m"/>
    <s v="Male"/>
    <n v="34"/>
    <x v="10"/>
    <x v="8"/>
    <x v="5"/>
    <n v="0"/>
    <x v="2"/>
    <n v="40"/>
    <n v="40"/>
    <x v="2"/>
    <n v="3.3"/>
    <n v="0"/>
    <x v="0"/>
    <n v="0.98"/>
    <n v="0.98"/>
  </r>
  <r>
    <s v="FL250585"/>
    <s v="Gregory Randall"/>
    <s v="Gregory Randall"/>
    <s v="m"/>
    <s v="Male"/>
    <n v="47"/>
    <x v="5"/>
    <x v="1"/>
    <x v="6"/>
    <n v="4"/>
    <x v="2"/>
    <s v="USD 20"/>
    <s v="20"/>
    <x v="6"/>
    <n v="4.2"/>
    <m/>
    <x v="2"/>
    <n v="0.82"/>
    <n v="0.82"/>
  </r>
  <r>
    <s v="FL250586"/>
    <s v="Charles Martinez"/>
    <s v="Charles Martinez"/>
    <s v="m"/>
    <s v="Male"/>
    <n v="32"/>
    <x v="19"/>
    <x v="6"/>
    <x v="6"/>
    <n v="9"/>
    <x v="3"/>
    <s v="USD 40"/>
    <s v="40"/>
    <x v="2"/>
    <n v="1.3"/>
    <b v="1"/>
    <x v="1"/>
    <n v="0.83"/>
    <n v="0.83"/>
  </r>
  <r>
    <s v="FL250587"/>
    <s v="James Hall"/>
    <s v="James Hall"/>
    <s v="m"/>
    <s v="Male"/>
    <n v="28"/>
    <x v="7"/>
    <x v="1"/>
    <x v="1"/>
    <n v="2"/>
    <x v="2"/>
    <n v="100"/>
    <s v="100"/>
    <x v="0"/>
    <n v="4.4000000000000004"/>
    <b v="1"/>
    <x v="1"/>
    <m/>
    <m/>
  </r>
  <r>
    <s v="FL250588"/>
    <s v="Michael Garcia"/>
    <s v="Michael Garcia"/>
    <s v="m"/>
    <s v="Male"/>
    <n v="32"/>
    <x v="1"/>
    <x v="1"/>
    <x v="8"/>
    <n v="1"/>
    <x v="2"/>
    <n v="100"/>
    <n v="100"/>
    <x v="0"/>
    <n v="3.4"/>
    <b v="1"/>
    <x v="1"/>
    <m/>
    <m/>
  </r>
  <r>
    <s v="FL250589"/>
    <s v="Michele Duran"/>
    <s v="Michele Duran"/>
    <s v="f"/>
    <s v="Female"/>
    <n v="49"/>
    <x v="3"/>
    <x v="3"/>
    <x v="4"/>
    <n v="2"/>
    <x v="2"/>
    <n v="100"/>
    <s v="100"/>
    <x v="0"/>
    <n v="3.4"/>
    <n v="1"/>
    <x v="1"/>
    <n v="0.85"/>
    <n v="0.85"/>
  </r>
  <r>
    <s v="FL250590"/>
    <s v="Jessica Gray"/>
    <s v="Jessica Gray"/>
    <s v="f"/>
    <s v="Female"/>
    <n v="36"/>
    <x v="8"/>
    <x v="6"/>
    <x v="1"/>
    <n v="16"/>
    <x v="4"/>
    <s v="USD 20"/>
    <s v="20"/>
    <x v="6"/>
    <n v="3.2"/>
    <m/>
    <x v="2"/>
    <m/>
    <m/>
  </r>
  <r>
    <s v="FL250591"/>
    <s v="Keith Shaffer"/>
    <s v="Keith Shaffer"/>
    <s v="m"/>
    <s v="Male"/>
    <n v="59"/>
    <x v="19"/>
    <x v="6"/>
    <x v="0"/>
    <n v="22"/>
    <x v="1"/>
    <s v="USD 20"/>
    <s v="20"/>
    <x v="6"/>
    <n v="3.6"/>
    <s v="N"/>
    <x v="0"/>
    <n v="0.63"/>
    <n v="0.63"/>
  </r>
  <r>
    <s v="FL250592"/>
    <s v="Jessica Decker"/>
    <s v="Jessica Decker"/>
    <s v="FEMALE"/>
    <s v="Female"/>
    <n v="52"/>
    <x v="14"/>
    <x v="1"/>
    <x v="7"/>
    <n v="22"/>
    <x v="1"/>
    <n v="20"/>
    <s v="20"/>
    <x v="6"/>
    <n v="0"/>
    <n v="0"/>
    <x v="0"/>
    <m/>
    <m/>
  </r>
  <r>
    <s v="FL250593"/>
    <s v="Brianna Pittman"/>
    <s v="Brianna Pittman"/>
    <s v="FEMALE"/>
    <s v="Female"/>
    <n v="24"/>
    <x v="18"/>
    <x v="15"/>
    <x v="0"/>
    <n v="5"/>
    <x v="2"/>
    <n v="40"/>
    <n v="40"/>
    <x v="2"/>
    <n v="1.8"/>
    <n v="1"/>
    <x v="1"/>
    <n v="0.86"/>
    <n v="0.86"/>
  </r>
  <r>
    <s v="FL250594"/>
    <s v="Kimberly Hunter"/>
    <s v="Kimberly Hunter"/>
    <s v="FEMALE"/>
    <s v="Female"/>
    <n v="26"/>
    <x v="1"/>
    <x v="1"/>
    <x v="2"/>
    <n v="2"/>
    <x v="2"/>
    <s v="USD 75"/>
    <s v="75"/>
    <x v="4"/>
    <n v="2.5"/>
    <s v="yes"/>
    <x v="1"/>
    <n v="60"/>
    <n v="0.6"/>
  </r>
  <r>
    <s v="FL250595"/>
    <s v="Daniel Martin"/>
    <s v="Daniel Martin"/>
    <s v="m"/>
    <s v="Male"/>
    <n v="55"/>
    <x v="14"/>
    <x v="1"/>
    <x v="7"/>
    <n v="24"/>
    <x v="1"/>
    <n v="40"/>
    <n v="40"/>
    <x v="2"/>
    <n v="2"/>
    <n v="1"/>
    <x v="1"/>
    <n v="88"/>
    <n v="0.88"/>
  </r>
  <r>
    <s v="FL250596"/>
    <s v="Rachel Smith"/>
    <s v="Rachel Smith"/>
    <s v="FEMALE"/>
    <s v="Female"/>
    <n v="56"/>
    <x v="0"/>
    <x v="0"/>
    <x v="1"/>
    <n v="37"/>
    <x v="1"/>
    <n v="40"/>
    <n v="40"/>
    <x v="2"/>
    <n v="0"/>
    <s v="N"/>
    <x v="0"/>
    <n v="0.7"/>
    <n v="0.7"/>
  </r>
  <r>
    <s v="FL250597"/>
    <s v="Michael Miller"/>
    <s v="Michael Miller"/>
    <s v="m"/>
    <s v="Male"/>
    <n v="36"/>
    <x v="15"/>
    <x v="12"/>
    <x v="2"/>
    <n v="3"/>
    <x v="2"/>
    <s v="USD 50"/>
    <s v="50"/>
    <x v="1"/>
    <n v="1.3"/>
    <n v="1"/>
    <x v="1"/>
    <n v="0.77"/>
    <n v="0.77"/>
  </r>
  <r>
    <s v="FL250598"/>
    <s v="Willie Clark"/>
    <s v="Willie Clark"/>
    <s v="m"/>
    <s v="Male"/>
    <n v="48"/>
    <x v="8"/>
    <x v="6"/>
    <x v="3"/>
    <n v="18"/>
    <x v="4"/>
    <n v="75"/>
    <n v="75"/>
    <x v="4"/>
    <n v="0"/>
    <n v="0"/>
    <x v="0"/>
    <n v="0.8"/>
    <n v="0.8"/>
  </r>
  <r>
    <s v="FL250599"/>
    <s v="Jeremy Hernandez"/>
    <s v="Jeremy Hernandez"/>
    <s v="male"/>
    <s v="Male"/>
    <n v="55"/>
    <x v="16"/>
    <x v="13"/>
    <x v="9"/>
    <n v="6"/>
    <x v="3"/>
    <n v="40"/>
    <s v="40"/>
    <x v="2"/>
    <n v="3.6"/>
    <s v="Y"/>
    <x v="1"/>
    <m/>
    <m/>
  </r>
  <r>
    <s v="FL250600"/>
    <s v="Tina Shelton"/>
    <s v="Tina Shelton"/>
    <s v="FEMALE"/>
    <s v="Female"/>
    <n v="56"/>
    <x v="20"/>
    <x v="6"/>
    <x v="8"/>
    <n v="17"/>
    <x v="4"/>
    <m/>
    <m/>
    <x v="5"/>
    <n v="1.3"/>
    <m/>
    <x v="2"/>
    <n v="0.87"/>
    <n v="0.87"/>
  </r>
  <r>
    <s v="FL250601"/>
    <s v="Dr. Pamela Larson"/>
    <s v="Pamela Larson"/>
    <s v="FEMALE"/>
    <s v="Female"/>
    <n v="28"/>
    <x v="14"/>
    <x v="1"/>
    <x v="0"/>
    <n v="1"/>
    <x v="2"/>
    <n v="75"/>
    <n v="75"/>
    <x v="4"/>
    <n v="2.7"/>
    <b v="1"/>
    <x v="1"/>
    <n v="0.93"/>
    <n v="0.93"/>
  </r>
  <r>
    <s v="FL250602"/>
    <s v="Ryan Ewing"/>
    <s v="Ryan Ewing"/>
    <s v="male"/>
    <s v="Male"/>
    <n v="60"/>
    <x v="5"/>
    <x v="1"/>
    <x v="4"/>
    <n v="39"/>
    <x v="1"/>
    <s v="USD 100"/>
    <s v="100"/>
    <x v="0"/>
    <n v="1.5"/>
    <m/>
    <x v="2"/>
    <n v="88"/>
    <n v="0.88"/>
  </r>
  <r>
    <s v="FL250603"/>
    <s v="Mark Cochran"/>
    <s v="Mark Cochran"/>
    <s v="male"/>
    <s v="Male"/>
    <n v="34"/>
    <x v="12"/>
    <x v="10"/>
    <x v="0"/>
    <n v="15"/>
    <x v="0"/>
    <n v="20"/>
    <n v="20"/>
    <x v="6"/>
    <n v="0"/>
    <n v="0"/>
    <x v="0"/>
    <n v="1"/>
    <n v="1"/>
  </r>
  <r>
    <s v="FL250604"/>
    <s v="Martha Carson"/>
    <s v="Martha Carson"/>
    <s v="FEMALE"/>
    <s v="Female"/>
    <n v="38"/>
    <x v="4"/>
    <x v="4"/>
    <x v="4"/>
    <n v="13"/>
    <x v="0"/>
    <n v="40"/>
    <s v="40"/>
    <x v="2"/>
    <n v="0"/>
    <n v="1"/>
    <x v="1"/>
    <n v="61"/>
    <n v="0.61"/>
  </r>
  <r>
    <s v="FL250605"/>
    <s v="Heather Jackson"/>
    <s v="Heather Jackson"/>
    <s v="FEMALE"/>
    <s v="Female"/>
    <n v="51"/>
    <x v="12"/>
    <x v="10"/>
    <x v="3"/>
    <n v="17"/>
    <x v="4"/>
    <n v="100"/>
    <n v="100"/>
    <x v="0"/>
    <n v="3"/>
    <b v="0"/>
    <x v="0"/>
    <n v="0.79"/>
    <n v="0.79"/>
  </r>
  <r>
    <s v="FL250606"/>
    <s v="Megan Young"/>
    <s v="Megan Young"/>
    <s v="f"/>
    <s v="Female"/>
    <n v="21"/>
    <x v="9"/>
    <x v="7"/>
    <x v="1"/>
    <n v="1"/>
    <x v="2"/>
    <n v="30"/>
    <n v="30"/>
    <x v="3"/>
    <n v="1.2"/>
    <m/>
    <x v="2"/>
    <n v="0.73"/>
    <n v="0.73"/>
  </r>
  <r>
    <s v="FL250607"/>
    <s v="Thomas Davis"/>
    <s v="Thomas Davis"/>
    <s v="m"/>
    <s v="Male"/>
    <n v="35"/>
    <x v="0"/>
    <x v="0"/>
    <x v="6"/>
    <n v="16"/>
    <x v="4"/>
    <m/>
    <m/>
    <x v="5"/>
    <n v="1.3"/>
    <n v="1"/>
    <x v="1"/>
    <n v="0.64"/>
    <n v="0.64"/>
  </r>
  <r>
    <s v="FL250608"/>
    <s v="Thomas Mooney"/>
    <s v="Thomas Mooney"/>
    <s v="m"/>
    <s v="Male"/>
    <n v="27"/>
    <x v="11"/>
    <x v="9"/>
    <x v="3"/>
    <n v="9"/>
    <x v="3"/>
    <n v="100"/>
    <s v="100"/>
    <x v="0"/>
    <m/>
    <b v="1"/>
    <x v="1"/>
    <m/>
    <m/>
  </r>
  <r>
    <s v="FL250609"/>
    <s v="Susan Smith"/>
    <s v="Susan Smith"/>
    <s v="FEMALE"/>
    <s v="Female"/>
    <n v="42"/>
    <x v="6"/>
    <x v="5"/>
    <x v="1"/>
    <n v="20"/>
    <x v="4"/>
    <s v="USD 50"/>
    <s v="50"/>
    <x v="1"/>
    <n v="3.8"/>
    <s v="N"/>
    <x v="0"/>
    <n v="0.93"/>
    <n v="0.93"/>
  </r>
  <r>
    <s v="FL250610"/>
    <s v="Brianna Orr"/>
    <s v="Brianna Orr"/>
    <s v="f"/>
    <s v="Female"/>
    <n v="52"/>
    <x v="14"/>
    <x v="1"/>
    <x v="0"/>
    <n v="29"/>
    <x v="1"/>
    <n v="30"/>
    <n v="30"/>
    <x v="3"/>
    <n v="3.8"/>
    <n v="0"/>
    <x v="0"/>
    <n v="0.68"/>
    <n v="0.68"/>
  </r>
  <r>
    <s v="FL250611"/>
    <s v="Dustin Smith"/>
    <s v="Dustin Smith"/>
    <s v="male"/>
    <s v="Male"/>
    <n v="53"/>
    <x v="12"/>
    <x v="10"/>
    <x v="3"/>
    <n v="21"/>
    <x v="1"/>
    <n v="40"/>
    <n v="40"/>
    <x v="2"/>
    <n v="4.7"/>
    <n v="1"/>
    <x v="1"/>
    <n v="0.62"/>
    <n v="0.62"/>
  </r>
  <r>
    <s v="FL250612"/>
    <s v="Sarah White"/>
    <s v="Sarah White"/>
    <s v="FEMALE"/>
    <s v="Female"/>
    <n v="54"/>
    <x v="0"/>
    <x v="0"/>
    <x v="1"/>
    <n v="28"/>
    <x v="1"/>
    <s v="USD 40"/>
    <s v="40"/>
    <x v="2"/>
    <n v="1.1000000000000001"/>
    <s v="no"/>
    <x v="0"/>
    <m/>
    <m/>
  </r>
  <r>
    <s v="FL250613"/>
    <s v="Michael Davis"/>
    <s v="Michael Davis"/>
    <s v="male"/>
    <s v="Male"/>
    <n v="51"/>
    <x v="9"/>
    <x v="7"/>
    <x v="2"/>
    <n v="5"/>
    <x v="2"/>
    <n v="50"/>
    <n v="50"/>
    <x v="1"/>
    <n v="4.2"/>
    <n v="1"/>
    <x v="1"/>
    <n v="0.82"/>
    <n v="0.82"/>
  </r>
  <r>
    <s v="FL250614"/>
    <s v="Jennifer Phillips"/>
    <s v="Jennifer Phillips"/>
    <s v="f"/>
    <s v="Female"/>
    <n v="30"/>
    <x v="12"/>
    <x v="10"/>
    <x v="3"/>
    <n v="0"/>
    <x v="2"/>
    <m/>
    <m/>
    <x v="5"/>
    <n v="0"/>
    <n v="0"/>
    <x v="0"/>
    <m/>
    <m/>
  </r>
  <r>
    <s v="FL250615"/>
    <s v="Dana Sanders"/>
    <s v="Dana Sanders"/>
    <s v="FEMALE"/>
    <s v="Female"/>
    <n v="45"/>
    <x v="3"/>
    <x v="3"/>
    <x v="9"/>
    <n v="27"/>
    <x v="1"/>
    <s v="USD 75"/>
    <s v="75"/>
    <x v="4"/>
    <n v="0"/>
    <m/>
    <x v="2"/>
    <n v="0.85"/>
    <n v="0.85"/>
  </r>
  <r>
    <s v="FL250616"/>
    <s v="Daniel Quinn"/>
    <s v="Daniel Quinn"/>
    <s v="male"/>
    <s v="Male"/>
    <n v="57"/>
    <x v="4"/>
    <x v="4"/>
    <x v="2"/>
    <n v="26"/>
    <x v="1"/>
    <s v="USD 100"/>
    <s v="100"/>
    <x v="0"/>
    <n v="2.4"/>
    <n v="1"/>
    <x v="1"/>
    <n v="0.78"/>
    <n v="0.78"/>
  </r>
  <r>
    <s v="FL250617"/>
    <s v="Matthew Steele"/>
    <s v="Matthew Steele"/>
    <s v="male"/>
    <s v="Male"/>
    <n v="38"/>
    <x v="6"/>
    <x v="5"/>
    <x v="0"/>
    <n v="19"/>
    <x v="4"/>
    <n v="40"/>
    <n v="40"/>
    <x v="2"/>
    <n v="0"/>
    <n v="1"/>
    <x v="1"/>
    <n v="0.86"/>
    <n v="0.86"/>
  </r>
  <r>
    <s v="FL250618"/>
    <s v="Michele Taylor"/>
    <s v="Michele Taylor"/>
    <s v="FEMALE"/>
    <s v="Female"/>
    <n v="42"/>
    <x v="13"/>
    <x v="11"/>
    <x v="8"/>
    <n v="24"/>
    <x v="1"/>
    <s v="USD 40"/>
    <s v="40"/>
    <x v="2"/>
    <m/>
    <b v="0"/>
    <x v="0"/>
    <n v="0.88"/>
    <n v="0.88"/>
  </r>
  <r>
    <s v="FL250619"/>
    <s v="Ashley Hammond"/>
    <s v="Ashley Hammond"/>
    <s v="FEMALE"/>
    <s v="Female"/>
    <n v="30"/>
    <x v="17"/>
    <x v="14"/>
    <x v="8"/>
    <n v="7"/>
    <x v="3"/>
    <n v="30"/>
    <n v="30"/>
    <x v="3"/>
    <n v="3.3"/>
    <m/>
    <x v="2"/>
    <n v="0.68"/>
    <n v="0.68"/>
  </r>
  <r>
    <s v="FL250620"/>
    <s v="Nicole Taylor"/>
    <s v="Nicole Taylor"/>
    <s v="FEMALE"/>
    <s v="Female"/>
    <n v="43"/>
    <x v="1"/>
    <x v="1"/>
    <x v="3"/>
    <n v="13"/>
    <x v="0"/>
    <n v="100"/>
    <s v="100"/>
    <x v="0"/>
    <n v="1.4"/>
    <n v="1"/>
    <x v="1"/>
    <n v="0.97"/>
    <n v="0.97"/>
  </r>
  <r>
    <s v="FL250621"/>
    <s v="Casey Bush"/>
    <s v="Casey Bush"/>
    <s v="male"/>
    <s v="Male"/>
    <n v="22"/>
    <x v="16"/>
    <x v="13"/>
    <x v="6"/>
    <n v="2"/>
    <x v="2"/>
    <n v="75"/>
    <s v="75"/>
    <x v="4"/>
    <n v="1.7"/>
    <s v="no"/>
    <x v="0"/>
    <n v="0.91"/>
    <n v="0.91"/>
  </r>
  <r>
    <s v="FL250622"/>
    <s v="Samuel Patterson"/>
    <s v="Samuel Patterson"/>
    <s v="m"/>
    <s v="Male"/>
    <n v="57"/>
    <x v="19"/>
    <x v="6"/>
    <x v="9"/>
    <n v="37"/>
    <x v="1"/>
    <n v="30"/>
    <n v="30"/>
    <x v="3"/>
    <n v="4.8"/>
    <b v="0"/>
    <x v="0"/>
    <m/>
    <m/>
  </r>
  <r>
    <s v="FL250623"/>
    <s v="Craig Dennis"/>
    <s v="Craig Dennis"/>
    <s v="male"/>
    <s v="Male"/>
    <n v="44"/>
    <x v="7"/>
    <x v="1"/>
    <x v="2"/>
    <n v="1"/>
    <x v="2"/>
    <m/>
    <m/>
    <x v="5"/>
    <n v="4.8"/>
    <s v="N"/>
    <x v="0"/>
    <n v="0.97"/>
    <n v="0.97"/>
  </r>
  <r>
    <s v="FL250624"/>
    <s v="Heidi Dixon"/>
    <s v="Heidi Dixon"/>
    <s v="FEMALE"/>
    <s v="Female"/>
    <n v="46"/>
    <x v="18"/>
    <x v="15"/>
    <x v="8"/>
    <n v="5"/>
    <x v="2"/>
    <s v="USD 30"/>
    <s v="30"/>
    <x v="3"/>
    <n v="2"/>
    <s v="yes"/>
    <x v="1"/>
    <n v="0.64"/>
    <n v="0.64"/>
  </r>
  <r>
    <s v="FL250625"/>
    <s v="David Bishop"/>
    <s v="David Bishop"/>
    <s v="male"/>
    <s v="Male"/>
    <m/>
    <x v="20"/>
    <x v="6"/>
    <x v="0"/>
    <n v="1"/>
    <x v="2"/>
    <s v="USD 50"/>
    <s v="50"/>
    <x v="1"/>
    <n v="2.8"/>
    <s v="no"/>
    <x v="0"/>
    <n v="0.87"/>
    <n v="0.87"/>
  </r>
  <r>
    <s v="FL250626"/>
    <s v="Laura Butler"/>
    <s v="Laura Butler"/>
    <s v="FEMALE"/>
    <s v="Female"/>
    <n v="34"/>
    <x v="1"/>
    <x v="1"/>
    <x v="5"/>
    <n v="2"/>
    <x v="2"/>
    <n v="100"/>
    <n v="100"/>
    <x v="0"/>
    <n v="0"/>
    <n v="0"/>
    <x v="0"/>
    <n v="86"/>
    <n v="0.86"/>
  </r>
  <r>
    <s v="FL250627"/>
    <s v="Denise Erickson"/>
    <s v="Denise Erickson"/>
    <s v="f"/>
    <s v="Female"/>
    <n v="46"/>
    <x v="0"/>
    <x v="0"/>
    <x v="1"/>
    <m/>
    <x v="2"/>
    <n v="100"/>
    <s v="100"/>
    <x v="0"/>
    <n v="4.4000000000000004"/>
    <n v="1"/>
    <x v="1"/>
    <n v="97"/>
    <n v="0.97"/>
  </r>
  <r>
    <s v="FL250628"/>
    <s v="Nicole Austin"/>
    <s v="Nicole Austin"/>
    <s v="f"/>
    <s v="Female"/>
    <n v="22"/>
    <x v="15"/>
    <x v="12"/>
    <x v="0"/>
    <n v="0"/>
    <x v="2"/>
    <s v="USD 30"/>
    <s v="30"/>
    <x v="3"/>
    <n v="4.9000000000000004"/>
    <b v="0"/>
    <x v="0"/>
    <n v="0.73"/>
    <n v="0.73"/>
  </r>
  <r>
    <s v="FL250629"/>
    <s v="Summer Williams"/>
    <s v="Summer Williams"/>
    <s v="FEMALE"/>
    <s v="Female"/>
    <n v="23"/>
    <x v="17"/>
    <x v="14"/>
    <x v="4"/>
    <n v="0"/>
    <x v="2"/>
    <s v="USD 75"/>
    <s v="75"/>
    <x v="4"/>
    <n v="2.2999999999999998"/>
    <m/>
    <x v="2"/>
    <n v="0.6"/>
    <n v="0.6"/>
  </r>
  <r>
    <s v="FL250630"/>
    <s v="Angela Blackwell"/>
    <s v="Angela Blackwell"/>
    <s v="f"/>
    <s v="Female"/>
    <n v="60"/>
    <x v="6"/>
    <x v="5"/>
    <x v="3"/>
    <n v="41"/>
    <x v="1"/>
    <n v="40"/>
    <s v="40"/>
    <x v="2"/>
    <n v="4.9000000000000004"/>
    <n v="1"/>
    <x v="1"/>
    <n v="66"/>
    <n v="0.66"/>
  </r>
  <r>
    <s v="FL250631"/>
    <s v="Thomas Wall"/>
    <s v="Thomas Wall"/>
    <s v="m"/>
    <s v="Male"/>
    <n v="20"/>
    <x v="14"/>
    <x v="1"/>
    <x v="8"/>
    <m/>
    <x v="2"/>
    <n v="75"/>
    <s v="75"/>
    <x v="4"/>
    <n v="4.3"/>
    <n v="0"/>
    <x v="0"/>
    <n v="0.9"/>
    <n v="0.9"/>
  </r>
  <r>
    <s v="FL250632"/>
    <s v="Sarah Anderson"/>
    <s v="Sarah Anderson"/>
    <s v="f"/>
    <s v="Female"/>
    <n v="41"/>
    <x v="12"/>
    <x v="10"/>
    <x v="6"/>
    <n v="23"/>
    <x v="1"/>
    <n v="75"/>
    <s v="75"/>
    <x v="4"/>
    <n v="1.4"/>
    <n v="0"/>
    <x v="0"/>
    <m/>
    <m/>
  </r>
  <r>
    <s v="FL250633"/>
    <s v="Christian Lane"/>
    <s v="Christian Lane"/>
    <s v="m"/>
    <s v="Male"/>
    <n v="24"/>
    <x v="15"/>
    <x v="12"/>
    <x v="1"/>
    <n v="0"/>
    <x v="2"/>
    <n v="100"/>
    <n v="100"/>
    <x v="0"/>
    <m/>
    <s v="no"/>
    <x v="0"/>
    <m/>
    <m/>
  </r>
  <r>
    <s v="FL250634"/>
    <s v="Todd Casey"/>
    <s v="Todd Casey"/>
    <s v="m"/>
    <s v="Male"/>
    <n v="44"/>
    <x v="3"/>
    <x v="3"/>
    <x v="9"/>
    <n v="4"/>
    <x v="2"/>
    <m/>
    <m/>
    <x v="5"/>
    <n v="1.3"/>
    <s v="yes"/>
    <x v="1"/>
    <n v="77"/>
    <n v="0.77"/>
  </r>
  <r>
    <s v="FL250635"/>
    <s v="David Martinez"/>
    <s v="David Martinez"/>
    <s v="male"/>
    <s v="Male"/>
    <n v="52"/>
    <x v="18"/>
    <x v="15"/>
    <x v="6"/>
    <n v="4"/>
    <x v="2"/>
    <n v="75"/>
    <n v="75"/>
    <x v="4"/>
    <n v="2.2999999999999998"/>
    <n v="1"/>
    <x v="1"/>
    <n v="0.79"/>
    <n v="0.79"/>
  </r>
  <r>
    <s v="FL250636"/>
    <s v="Donald Salas"/>
    <s v="Donald Salas"/>
    <s v="m"/>
    <s v="Male"/>
    <n v="35"/>
    <x v="20"/>
    <x v="6"/>
    <x v="9"/>
    <n v="13"/>
    <x v="0"/>
    <n v="40"/>
    <n v="40"/>
    <x v="2"/>
    <n v="3.6"/>
    <n v="0"/>
    <x v="0"/>
    <n v="0.83"/>
    <n v="0.83"/>
  </r>
  <r>
    <s v="FL250637"/>
    <s v="Emma Hicks"/>
    <s v="Emma Hicks"/>
    <s v="FEMALE"/>
    <s v="Female"/>
    <n v="24"/>
    <x v="3"/>
    <x v="3"/>
    <x v="8"/>
    <n v="2"/>
    <x v="2"/>
    <n v="50"/>
    <s v="50"/>
    <x v="1"/>
    <m/>
    <s v="N"/>
    <x v="0"/>
    <n v="0.64"/>
    <n v="0.64"/>
  </r>
  <r>
    <s v="FL250638"/>
    <s v="Alison Clark"/>
    <s v="Alison Clark"/>
    <s v="FEMALE"/>
    <s v="Female"/>
    <n v="46"/>
    <x v="1"/>
    <x v="1"/>
    <x v="7"/>
    <n v="25"/>
    <x v="1"/>
    <n v="100"/>
    <s v="100"/>
    <x v="0"/>
    <n v="1.3"/>
    <s v="no"/>
    <x v="0"/>
    <n v="0.8"/>
    <n v="0.8"/>
  </r>
  <r>
    <s v="FL250639"/>
    <s v="Andrew Barnes"/>
    <s v="Andrew Barnes"/>
    <s v="m"/>
    <s v="Male"/>
    <n v="57"/>
    <x v="19"/>
    <x v="6"/>
    <x v="1"/>
    <n v="18"/>
    <x v="4"/>
    <s v="USD 30"/>
    <s v="30"/>
    <x v="3"/>
    <n v="1.1000000000000001"/>
    <b v="0"/>
    <x v="0"/>
    <n v="0.9"/>
    <n v="0.9"/>
  </r>
  <r>
    <s v="FL250640"/>
    <s v="Gina Snyder"/>
    <s v="Gina Snyder"/>
    <s v="f"/>
    <s v="Female"/>
    <n v="49"/>
    <x v="19"/>
    <x v="6"/>
    <x v="3"/>
    <n v="24"/>
    <x v="1"/>
    <n v="50"/>
    <s v="50"/>
    <x v="1"/>
    <n v="0"/>
    <n v="0"/>
    <x v="0"/>
    <n v="0.94"/>
    <n v="0.94"/>
  </r>
  <r>
    <s v="FL250641"/>
    <s v="David Watson"/>
    <s v="David Watson"/>
    <s v="male"/>
    <s v="Male"/>
    <n v="41"/>
    <x v="9"/>
    <x v="7"/>
    <x v="4"/>
    <n v="7"/>
    <x v="3"/>
    <n v="40"/>
    <n v="40"/>
    <x v="2"/>
    <n v="1.8"/>
    <b v="0"/>
    <x v="0"/>
    <n v="0.7"/>
    <n v="0.7"/>
  </r>
  <r>
    <s v="FL250642"/>
    <s v="John Davis"/>
    <s v="John Davis"/>
    <s v="male"/>
    <s v="Male"/>
    <n v="22"/>
    <x v="19"/>
    <x v="6"/>
    <x v="9"/>
    <n v="1"/>
    <x v="2"/>
    <s v="USD 20"/>
    <s v="20"/>
    <x v="6"/>
    <m/>
    <s v="yes"/>
    <x v="1"/>
    <n v="0.75"/>
    <n v="0.75"/>
  </r>
  <r>
    <s v="FL250643"/>
    <s v="Joseph Thomas"/>
    <s v="Joseph Thomas"/>
    <s v="male"/>
    <s v="Male"/>
    <n v="50"/>
    <x v="1"/>
    <x v="1"/>
    <x v="0"/>
    <n v="17"/>
    <x v="4"/>
    <n v="75"/>
    <n v="75"/>
    <x v="4"/>
    <n v="3.3"/>
    <n v="1"/>
    <x v="1"/>
    <n v="0.69"/>
    <n v="0.69"/>
  </r>
  <r>
    <s v="FL250644"/>
    <s v="Dean Finley"/>
    <s v="Dean Finley"/>
    <s v="male"/>
    <s v="Male"/>
    <n v="57"/>
    <x v="2"/>
    <x v="2"/>
    <x v="2"/>
    <n v="4"/>
    <x v="2"/>
    <s v="USD 30"/>
    <s v="30"/>
    <x v="3"/>
    <n v="4.2"/>
    <n v="0"/>
    <x v="0"/>
    <m/>
    <m/>
  </r>
  <r>
    <s v="FL250645"/>
    <s v="Ashley Kemp"/>
    <s v="Ashley Kemp"/>
    <s v="FEMALE"/>
    <s v="Female"/>
    <n v="47"/>
    <x v="19"/>
    <x v="6"/>
    <x v="4"/>
    <n v="29"/>
    <x v="1"/>
    <n v="50"/>
    <s v="50"/>
    <x v="1"/>
    <m/>
    <n v="1"/>
    <x v="1"/>
    <n v="0.79"/>
    <n v="0.79"/>
  </r>
  <r>
    <s v="FL250646"/>
    <s v="Kenneth Evans"/>
    <s v="Kenneth Evans"/>
    <s v="m"/>
    <s v="Male"/>
    <n v="24"/>
    <x v="17"/>
    <x v="14"/>
    <x v="5"/>
    <n v="2"/>
    <x v="2"/>
    <n v="100"/>
    <s v="100"/>
    <x v="0"/>
    <n v="3.8"/>
    <n v="1"/>
    <x v="1"/>
    <n v="0.71"/>
    <n v="0.71"/>
  </r>
  <r>
    <s v="FL250647"/>
    <s v="Brandon Newman"/>
    <s v="Brandon Newman"/>
    <s v="male"/>
    <s v="Male"/>
    <m/>
    <x v="10"/>
    <x v="8"/>
    <x v="7"/>
    <n v="9"/>
    <x v="3"/>
    <n v="100"/>
    <n v="100"/>
    <x v="0"/>
    <n v="4.8"/>
    <s v="Y"/>
    <x v="1"/>
    <n v="0.72"/>
    <n v="0.72"/>
  </r>
  <r>
    <s v="FL250648"/>
    <s v="Katie Hensley"/>
    <s v="Katie Hensley"/>
    <s v="FEMALE"/>
    <s v="Female"/>
    <n v="50"/>
    <x v="2"/>
    <x v="2"/>
    <x v="8"/>
    <n v="10"/>
    <x v="3"/>
    <n v="100"/>
    <s v="100"/>
    <x v="0"/>
    <n v="4.3"/>
    <s v="N"/>
    <x v="0"/>
    <n v="0.93"/>
    <n v="0.93"/>
  </r>
  <r>
    <s v="FL250649"/>
    <s v="Joel Randolph"/>
    <s v="Joel Randolph"/>
    <s v="m"/>
    <s v="Male"/>
    <n v="46"/>
    <x v="11"/>
    <x v="9"/>
    <x v="9"/>
    <n v="20"/>
    <x v="4"/>
    <m/>
    <m/>
    <x v="5"/>
    <n v="4.8"/>
    <n v="1"/>
    <x v="1"/>
    <n v="0.82"/>
    <n v="0.82"/>
  </r>
  <r>
    <s v="FL250650"/>
    <s v="Andrew Scott"/>
    <s v="Andrew Scott"/>
    <s v="male"/>
    <s v="Male"/>
    <n v="51"/>
    <x v="1"/>
    <x v="1"/>
    <x v="7"/>
    <n v="9"/>
    <x v="3"/>
    <n v="40"/>
    <s v="40"/>
    <x v="2"/>
    <m/>
    <s v="N"/>
    <x v="0"/>
    <n v="60"/>
    <n v="0.6"/>
  </r>
  <r>
    <s v="FL250651"/>
    <s v="Zachary Ochoa"/>
    <s v="Zachary Ochoa"/>
    <s v="male"/>
    <s v="Male"/>
    <n v="51"/>
    <x v="7"/>
    <x v="1"/>
    <x v="4"/>
    <n v="12"/>
    <x v="0"/>
    <n v="20"/>
    <n v="20"/>
    <x v="6"/>
    <n v="4"/>
    <n v="0"/>
    <x v="0"/>
    <n v="93"/>
    <n v="0.93"/>
  </r>
  <r>
    <s v="FL250652"/>
    <s v="John Arroyo"/>
    <s v="John Arroyo"/>
    <s v="m"/>
    <s v="Male"/>
    <n v="27"/>
    <x v="7"/>
    <x v="1"/>
    <x v="4"/>
    <n v="3"/>
    <x v="2"/>
    <s v="USD 50"/>
    <s v="50"/>
    <x v="1"/>
    <m/>
    <b v="0"/>
    <x v="0"/>
    <m/>
    <m/>
  </r>
  <r>
    <s v="FL250653"/>
    <s v="Matthew Fernandez"/>
    <s v="Matthew Fernandez"/>
    <s v="male"/>
    <s v="Male"/>
    <n v="42"/>
    <x v="20"/>
    <x v="6"/>
    <x v="3"/>
    <n v="13"/>
    <x v="0"/>
    <n v="30"/>
    <n v="30"/>
    <x v="3"/>
    <n v="0"/>
    <b v="0"/>
    <x v="0"/>
    <n v="0.74"/>
    <n v="0.74"/>
  </r>
  <r>
    <s v="FL250654"/>
    <s v="Benjamin Stark"/>
    <s v="Benjamin Stark"/>
    <s v="male"/>
    <s v="Male"/>
    <n v="25"/>
    <x v="2"/>
    <x v="2"/>
    <x v="6"/>
    <n v="4"/>
    <x v="2"/>
    <n v="40"/>
    <s v="40"/>
    <x v="2"/>
    <n v="2.2999999999999998"/>
    <s v="yes"/>
    <x v="1"/>
    <n v="73"/>
    <n v="0.73"/>
  </r>
  <r>
    <s v="FL250655"/>
    <s v="Tammy Greer"/>
    <s v="Tammy Greer"/>
    <s v="FEMALE"/>
    <s v="Female"/>
    <n v="32"/>
    <x v="2"/>
    <x v="2"/>
    <x v="5"/>
    <n v="9"/>
    <x v="3"/>
    <n v="75"/>
    <n v="75"/>
    <x v="4"/>
    <m/>
    <s v="N"/>
    <x v="0"/>
    <n v="0.96"/>
    <n v="0.96"/>
  </r>
  <r>
    <s v="FL250656"/>
    <s v="Cynthia Mckinney"/>
    <s v="Cynthia Mckinney"/>
    <s v="FEMALE"/>
    <s v="Female"/>
    <n v="59"/>
    <x v="14"/>
    <x v="1"/>
    <x v="2"/>
    <n v="14"/>
    <x v="0"/>
    <n v="30"/>
    <n v="30"/>
    <x v="3"/>
    <n v="3.8"/>
    <m/>
    <x v="2"/>
    <n v="0.66"/>
    <n v="0.66"/>
  </r>
  <r>
    <s v="FL250657"/>
    <s v="Wendy Rice"/>
    <s v="Wendy Rice"/>
    <s v="FEMALE"/>
    <s v="Female"/>
    <n v="59"/>
    <x v="15"/>
    <x v="12"/>
    <x v="7"/>
    <n v="37"/>
    <x v="1"/>
    <n v="30"/>
    <n v="30"/>
    <x v="3"/>
    <n v="4"/>
    <b v="0"/>
    <x v="0"/>
    <n v="0.62"/>
    <n v="0.62"/>
  </r>
  <r>
    <s v="FL250658"/>
    <s v="Randy Bender"/>
    <s v="Randy Bender"/>
    <s v="male"/>
    <s v="Male"/>
    <n v="29"/>
    <x v="2"/>
    <x v="2"/>
    <x v="2"/>
    <n v="2"/>
    <x v="2"/>
    <s v="USD 75"/>
    <s v="75"/>
    <x v="4"/>
    <n v="2.2000000000000002"/>
    <s v="Y"/>
    <x v="1"/>
    <n v="0.85"/>
    <n v="0.85"/>
  </r>
  <r>
    <s v="FL250659"/>
    <s v="Richard Dominguez"/>
    <s v="Richard Dominguez"/>
    <s v="male"/>
    <s v="Male"/>
    <n v="58"/>
    <x v="18"/>
    <x v="15"/>
    <x v="4"/>
    <n v="11"/>
    <x v="0"/>
    <n v="100"/>
    <n v="100"/>
    <x v="0"/>
    <n v="4.3"/>
    <n v="0"/>
    <x v="0"/>
    <n v="0.66"/>
    <n v="0.66"/>
  </r>
  <r>
    <s v="FL250660"/>
    <s v="Melissa Maldonado"/>
    <s v="Melissa Maldonado"/>
    <s v="f"/>
    <s v="Female"/>
    <n v="56"/>
    <x v="14"/>
    <x v="1"/>
    <x v="7"/>
    <n v="19"/>
    <x v="4"/>
    <n v="20"/>
    <n v="20"/>
    <x v="6"/>
    <n v="0"/>
    <n v="0"/>
    <x v="0"/>
    <n v="0.87"/>
    <n v="0.87"/>
  </r>
  <r>
    <s v="FL250661"/>
    <s v="Leah Harris"/>
    <s v="Leah Harris"/>
    <s v="f"/>
    <s v="Female"/>
    <n v="36"/>
    <x v="5"/>
    <x v="1"/>
    <x v="9"/>
    <n v="9"/>
    <x v="3"/>
    <n v="20"/>
    <n v="20"/>
    <x v="6"/>
    <n v="0"/>
    <n v="1"/>
    <x v="1"/>
    <n v="68"/>
    <n v="0.68"/>
  </r>
  <r>
    <s v="FL250662"/>
    <s v="Lynn French"/>
    <s v="Lynn French"/>
    <s v="FEMALE"/>
    <s v="Female"/>
    <n v="52"/>
    <x v="14"/>
    <x v="1"/>
    <x v="6"/>
    <n v="16"/>
    <x v="4"/>
    <n v="100"/>
    <n v="100"/>
    <x v="0"/>
    <n v="4"/>
    <n v="1"/>
    <x v="1"/>
    <m/>
    <m/>
  </r>
  <r>
    <s v="FL250663"/>
    <s v="Angela Johnson"/>
    <s v="Angela Johnson"/>
    <s v="FEMALE"/>
    <s v="Female"/>
    <n v="42"/>
    <x v="3"/>
    <x v="3"/>
    <x v="1"/>
    <n v="8"/>
    <x v="3"/>
    <s v="USD 50"/>
    <s v="50"/>
    <x v="1"/>
    <m/>
    <m/>
    <x v="2"/>
    <m/>
    <m/>
  </r>
  <r>
    <s v="FL250664"/>
    <s v="Sarah Edwards"/>
    <s v="Sarah Edwards"/>
    <s v="FEMALE"/>
    <s v="Female"/>
    <n v="59"/>
    <x v="10"/>
    <x v="8"/>
    <x v="1"/>
    <n v="34"/>
    <x v="1"/>
    <n v="100"/>
    <n v="100"/>
    <x v="0"/>
    <n v="2"/>
    <n v="1"/>
    <x v="1"/>
    <n v="0.79"/>
    <n v="0.79"/>
  </r>
  <r>
    <s v="FL250665"/>
    <s v="Roy Collins"/>
    <s v="Roy Collins"/>
    <s v="male"/>
    <s v="Male"/>
    <n v="33"/>
    <x v="3"/>
    <x v="3"/>
    <x v="1"/>
    <n v="5"/>
    <x v="2"/>
    <n v="50"/>
    <s v="50"/>
    <x v="1"/>
    <n v="4.7"/>
    <n v="1"/>
    <x v="1"/>
    <n v="0.88"/>
    <n v="0.88"/>
  </r>
  <r>
    <s v="FL250666"/>
    <s v="Samantha Porter"/>
    <s v="Samantha Porter"/>
    <s v="f"/>
    <s v="Female"/>
    <n v="55"/>
    <x v="14"/>
    <x v="1"/>
    <x v="3"/>
    <n v="14"/>
    <x v="0"/>
    <s v="USD 50"/>
    <s v="50"/>
    <x v="1"/>
    <n v="3.6"/>
    <n v="1"/>
    <x v="1"/>
    <n v="0.81"/>
    <n v="0.81"/>
  </r>
  <r>
    <s v="FL250667"/>
    <s v="Juan Elliott"/>
    <s v="Juan Elliott"/>
    <s v="male"/>
    <s v="Male"/>
    <n v="47"/>
    <x v="12"/>
    <x v="10"/>
    <x v="6"/>
    <n v="17"/>
    <x v="4"/>
    <n v="50"/>
    <n v="50"/>
    <x v="1"/>
    <n v="1.2"/>
    <s v="N"/>
    <x v="0"/>
    <m/>
    <m/>
  </r>
  <r>
    <s v="FL250668"/>
    <s v="Elizabeth Phillips"/>
    <s v="Elizabeth Phillips"/>
    <s v="FEMALE"/>
    <s v="Female"/>
    <n v="29"/>
    <x v="19"/>
    <x v="6"/>
    <x v="4"/>
    <n v="10"/>
    <x v="3"/>
    <m/>
    <m/>
    <x v="5"/>
    <n v="4.4000000000000004"/>
    <s v="Y"/>
    <x v="1"/>
    <n v="0.67"/>
    <n v="0.67"/>
  </r>
  <r>
    <s v="FL250669"/>
    <s v="Laura Evans"/>
    <s v="Laura Evans"/>
    <s v="FEMALE"/>
    <s v="Female"/>
    <n v="30"/>
    <x v="7"/>
    <x v="1"/>
    <x v="8"/>
    <n v="8"/>
    <x v="3"/>
    <n v="100"/>
    <n v="100"/>
    <x v="0"/>
    <n v="1.4"/>
    <s v="yes"/>
    <x v="1"/>
    <n v="62"/>
    <n v="0.62"/>
  </r>
  <r>
    <s v="FL250670"/>
    <s v="Amanda Mitchell"/>
    <s v="Amanda Mitchell"/>
    <s v="FEMALE"/>
    <s v="Female"/>
    <n v="25"/>
    <x v="14"/>
    <x v="1"/>
    <x v="8"/>
    <n v="1"/>
    <x v="2"/>
    <s v="USD 30"/>
    <s v="30"/>
    <x v="3"/>
    <n v="3.2"/>
    <n v="0"/>
    <x v="0"/>
    <n v="0.87"/>
    <n v="0.87"/>
  </r>
  <r>
    <s v="FL250671"/>
    <s v="Sandra Williams"/>
    <s v="Sandra Williams"/>
    <s v="FEMALE"/>
    <s v="Female"/>
    <n v="28"/>
    <x v="16"/>
    <x v="13"/>
    <x v="7"/>
    <n v="10"/>
    <x v="3"/>
    <m/>
    <m/>
    <x v="5"/>
    <n v="3.8"/>
    <s v="yes"/>
    <x v="1"/>
    <n v="0.98"/>
    <n v="0.98"/>
  </r>
  <r>
    <s v="FL250672"/>
    <s v="Eric Johnson"/>
    <s v="Eric Johnson"/>
    <s v="male"/>
    <s v="Male"/>
    <n v="29"/>
    <x v="12"/>
    <x v="10"/>
    <x v="0"/>
    <n v="0"/>
    <x v="2"/>
    <n v="75"/>
    <s v="75"/>
    <x v="4"/>
    <n v="1.5"/>
    <b v="1"/>
    <x v="1"/>
    <n v="0.64"/>
    <n v="0.64"/>
  </r>
  <r>
    <s v="FL250673"/>
    <s v="Javier Hobbs"/>
    <s v="Javier Hobbs"/>
    <s v="male"/>
    <s v="Male"/>
    <n v="30"/>
    <x v="20"/>
    <x v="6"/>
    <x v="2"/>
    <n v="4"/>
    <x v="2"/>
    <m/>
    <m/>
    <x v="5"/>
    <n v="2.8"/>
    <n v="1"/>
    <x v="1"/>
    <n v="0.71"/>
    <n v="0.71"/>
  </r>
  <r>
    <s v="FL250674"/>
    <s v="Jacob Jones"/>
    <s v="Jacob Jones"/>
    <s v="male"/>
    <s v="Male"/>
    <n v="47"/>
    <x v="16"/>
    <x v="13"/>
    <x v="4"/>
    <n v="2"/>
    <x v="2"/>
    <n v="50"/>
    <n v="50"/>
    <x v="1"/>
    <n v="2.7"/>
    <s v="no"/>
    <x v="0"/>
    <n v="96"/>
    <n v="0.96"/>
  </r>
  <r>
    <s v="FL250675"/>
    <s v="Zachary Murphy"/>
    <s v="Zachary Murphy"/>
    <s v="male"/>
    <s v="Male"/>
    <n v="34"/>
    <x v="1"/>
    <x v="1"/>
    <x v="0"/>
    <n v="10"/>
    <x v="3"/>
    <n v="30"/>
    <s v="30"/>
    <x v="3"/>
    <n v="3.9"/>
    <m/>
    <x v="2"/>
    <m/>
    <m/>
  </r>
  <r>
    <s v="FL250676"/>
    <s v="Joshua Owens"/>
    <s v="Joshua Owens"/>
    <s v="m"/>
    <s v="Male"/>
    <n v="45"/>
    <x v="5"/>
    <x v="1"/>
    <x v="2"/>
    <n v="16"/>
    <x v="4"/>
    <n v="100"/>
    <n v="100"/>
    <x v="0"/>
    <n v="4.5999999999999996"/>
    <s v="N"/>
    <x v="0"/>
    <n v="0.78"/>
    <n v="0.78"/>
  </r>
  <r>
    <s v="FL250677"/>
    <s v="Dawn Mitchell"/>
    <s v="Dawn Mitchell"/>
    <s v="f"/>
    <s v="Female"/>
    <n v="56"/>
    <x v="20"/>
    <x v="6"/>
    <x v="7"/>
    <n v="27"/>
    <x v="1"/>
    <n v="20"/>
    <s v="20"/>
    <x v="6"/>
    <n v="2.2000000000000002"/>
    <b v="0"/>
    <x v="0"/>
    <n v="0.7"/>
    <n v="0.7"/>
  </r>
  <r>
    <s v="FL250678"/>
    <s v="Regina Dunn"/>
    <s v="Regina Dunn"/>
    <s v="FEMALE"/>
    <s v="Female"/>
    <n v="49"/>
    <x v="18"/>
    <x v="15"/>
    <x v="8"/>
    <n v="20"/>
    <x v="4"/>
    <n v="50"/>
    <n v="50"/>
    <x v="1"/>
    <n v="2.5"/>
    <n v="0"/>
    <x v="0"/>
    <n v="0.82"/>
    <n v="0.82"/>
  </r>
  <r>
    <s v="FL250679"/>
    <s v="Ernest Cole"/>
    <s v="Ernest Cole"/>
    <s v="male"/>
    <s v="Male"/>
    <n v="48"/>
    <x v="15"/>
    <x v="12"/>
    <x v="4"/>
    <n v="10"/>
    <x v="3"/>
    <m/>
    <m/>
    <x v="5"/>
    <n v="3.1"/>
    <b v="0"/>
    <x v="0"/>
    <m/>
    <m/>
  </r>
  <r>
    <s v="FL250680"/>
    <s v="Hannah Sanders"/>
    <s v="Hannah Sanders"/>
    <s v="FEMALE"/>
    <s v="Female"/>
    <n v="29"/>
    <x v="12"/>
    <x v="10"/>
    <x v="2"/>
    <n v="0"/>
    <x v="2"/>
    <n v="20"/>
    <s v="20"/>
    <x v="6"/>
    <m/>
    <n v="1"/>
    <x v="1"/>
    <n v="0.99"/>
    <n v="0.99"/>
  </r>
  <r>
    <s v="FL250681"/>
    <s v="Ellen Bowman"/>
    <s v="Ellen Bowman"/>
    <s v="FEMALE"/>
    <s v="Female"/>
    <n v="49"/>
    <x v="3"/>
    <x v="3"/>
    <x v="3"/>
    <n v="11"/>
    <x v="0"/>
    <n v="75"/>
    <n v="75"/>
    <x v="4"/>
    <n v="3.8"/>
    <s v="Y"/>
    <x v="1"/>
    <n v="0.93"/>
    <n v="0.93"/>
  </r>
  <r>
    <s v="FL250682"/>
    <s v="Nancy Moore"/>
    <s v="Nancy Moore"/>
    <s v="FEMALE"/>
    <s v="Female"/>
    <n v="22"/>
    <x v="18"/>
    <x v="15"/>
    <x v="0"/>
    <n v="1"/>
    <x v="2"/>
    <n v="100"/>
    <n v="100"/>
    <x v="0"/>
    <n v="4.8"/>
    <s v="Y"/>
    <x v="1"/>
    <n v="0.75"/>
    <n v="0.75"/>
  </r>
  <r>
    <s v="FL250683"/>
    <s v="Joseph Wood"/>
    <s v="Joseph Wood"/>
    <s v="m"/>
    <s v="Male"/>
    <n v="52"/>
    <x v="19"/>
    <x v="6"/>
    <x v="2"/>
    <n v="30"/>
    <x v="1"/>
    <s v="USD 100"/>
    <s v="100"/>
    <x v="0"/>
    <n v="2.5"/>
    <m/>
    <x v="2"/>
    <n v="61"/>
    <n v="0.61"/>
  </r>
  <r>
    <s v="FL250684"/>
    <s v="Michael Harrell"/>
    <s v="Michael Harrell"/>
    <s v="male"/>
    <s v="Male"/>
    <n v="60"/>
    <x v="14"/>
    <x v="1"/>
    <x v="0"/>
    <n v="7"/>
    <x v="3"/>
    <s v="USD 30"/>
    <s v="30"/>
    <x v="3"/>
    <n v="0"/>
    <s v="no"/>
    <x v="0"/>
    <n v="0.97"/>
    <n v="0.97"/>
  </r>
  <r>
    <s v="FL250685"/>
    <s v="Connie Mcclain"/>
    <s v="Connie Mcclain"/>
    <s v="f"/>
    <s v="Female"/>
    <n v="33"/>
    <x v="9"/>
    <x v="7"/>
    <x v="6"/>
    <n v="0"/>
    <x v="2"/>
    <n v="100"/>
    <s v="100"/>
    <x v="0"/>
    <n v="1.7"/>
    <n v="1"/>
    <x v="1"/>
    <n v="95"/>
    <n v="0.95"/>
  </r>
  <r>
    <s v="FL250686"/>
    <s v="Matthew Baldwin"/>
    <s v="Matthew Baldwin"/>
    <s v="m"/>
    <s v="Male"/>
    <n v="52"/>
    <x v="12"/>
    <x v="10"/>
    <x v="2"/>
    <n v="21"/>
    <x v="1"/>
    <s v="USD 40"/>
    <s v="40"/>
    <x v="2"/>
    <n v="4"/>
    <m/>
    <x v="2"/>
    <n v="0.69"/>
    <n v="0.69"/>
  </r>
  <r>
    <s v="FL250687"/>
    <s v="Danielle Nelson"/>
    <s v="Danielle Nelson"/>
    <s v="f"/>
    <s v="Female"/>
    <n v="25"/>
    <x v="2"/>
    <x v="2"/>
    <x v="8"/>
    <n v="7"/>
    <x v="3"/>
    <s v="USD 100"/>
    <s v="100"/>
    <x v="0"/>
    <n v="1.9"/>
    <b v="0"/>
    <x v="0"/>
    <n v="0.63"/>
    <n v="0.63"/>
  </r>
  <r>
    <s v="FL250688"/>
    <s v="Steven Moore"/>
    <s v="Steven Moore"/>
    <s v="m"/>
    <s v="Male"/>
    <n v="33"/>
    <x v="9"/>
    <x v="7"/>
    <x v="7"/>
    <m/>
    <x v="2"/>
    <s v="USD 30"/>
    <s v="30"/>
    <x v="3"/>
    <n v="4.4000000000000004"/>
    <b v="1"/>
    <x v="1"/>
    <n v="0.65"/>
    <n v="0.65"/>
  </r>
  <r>
    <s v="FL250689"/>
    <s v="Megan Hudson"/>
    <s v="Megan Hudson"/>
    <s v="f"/>
    <s v="Female"/>
    <n v="33"/>
    <x v="18"/>
    <x v="15"/>
    <x v="1"/>
    <m/>
    <x v="2"/>
    <m/>
    <m/>
    <x v="5"/>
    <n v="4.2"/>
    <s v="Y"/>
    <x v="1"/>
    <n v="0.9"/>
    <n v="0.9"/>
  </r>
  <r>
    <s v="FL250690"/>
    <s v="Lisa Johnson"/>
    <s v="Lisa Johnson"/>
    <s v="FEMALE"/>
    <s v="Female"/>
    <n v="52"/>
    <x v="14"/>
    <x v="1"/>
    <x v="6"/>
    <n v="25"/>
    <x v="1"/>
    <n v="100"/>
    <n v="100"/>
    <x v="0"/>
    <n v="4.8"/>
    <s v="N"/>
    <x v="0"/>
    <m/>
    <m/>
  </r>
  <r>
    <s v="FL250691"/>
    <s v="Tracy White"/>
    <s v="Tracy White"/>
    <s v="f"/>
    <s v="Female"/>
    <n v="20"/>
    <x v="4"/>
    <x v="4"/>
    <x v="3"/>
    <n v="1"/>
    <x v="2"/>
    <s v="USD 30"/>
    <s v="30"/>
    <x v="3"/>
    <n v="2"/>
    <s v="no"/>
    <x v="0"/>
    <n v="0.89"/>
    <n v="0.89"/>
  </r>
  <r>
    <s v="FL250692"/>
    <s v="Natalie Diaz"/>
    <s v="Natalie Diaz"/>
    <s v="FEMALE"/>
    <s v="Female"/>
    <n v="43"/>
    <x v="13"/>
    <x v="11"/>
    <x v="5"/>
    <n v="7"/>
    <x v="3"/>
    <s v="USD 50"/>
    <s v="50"/>
    <x v="1"/>
    <m/>
    <n v="1"/>
    <x v="1"/>
    <n v="0.8"/>
    <n v="0.8"/>
  </r>
  <r>
    <s v="FL250693"/>
    <s v="Amanda Mitchell"/>
    <s v="Amanda Mitchell"/>
    <s v="FEMALE"/>
    <s v="Female"/>
    <n v="31"/>
    <x v="15"/>
    <x v="12"/>
    <x v="1"/>
    <m/>
    <x v="2"/>
    <n v="50"/>
    <n v="50"/>
    <x v="1"/>
    <n v="1.4"/>
    <s v="no"/>
    <x v="0"/>
    <n v="0.8"/>
    <n v="0.8"/>
  </r>
  <r>
    <s v="FL250694"/>
    <s v="Karen Scott"/>
    <s v="Karen Scott"/>
    <s v="FEMALE"/>
    <s v="Female"/>
    <n v="29"/>
    <x v="2"/>
    <x v="2"/>
    <x v="5"/>
    <n v="6"/>
    <x v="3"/>
    <n v="100"/>
    <n v="100"/>
    <x v="0"/>
    <n v="1.8"/>
    <s v="N"/>
    <x v="0"/>
    <m/>
    <m/>
  </r>
  <r>
    <s v="FL250695"/>
    <s v="Mary Brown"/>
    <s v="Mary Brown"/>
    <s v="FEMALE"/>
    <s v="Female"/>
    <n v="53"/>
    <x v="17"/>
    <x v="14"/>
    <x v="2"/>
    <n v="35"/>
    <x v="1"/>
    <m/>
    <m/>
    <x v="5"/>
    <n v="0"/>
    <n v="1"/>
    <x v="1"/>
    <n v="0.67"/>
    <n v="0.67"/>
  </r>
  <r>
    <s v="FL250696"/>
    <s v="Jon Jones"/>
    <s v="Jon Jones"/>
    <s v="male"/>
    <s v="Male"/>
    <n v="38"/>
    <x v="10"/>
    <x v="8"/>
    <x v="1"/>
    <n v="1"/>
    <x v="2"/>
    <s v="USD 40"/>
    <s v="40"/>
    <x v="2"/>
    <n v="0"/>
    <n v="0"/>
    <x v="0"/>
    <n v="0.96"/>
    <n v="0.96"/>
  </r>
  <r>
    <s v="FL250697"/>
    <s v="Jason Phillips"/>
    <s v="Jason Phillips"/>
    <s v="male"/>
    <s v="Male"/>
    <n v="29"/>
    <x v="20"/>
    <x v="6"/>
    <x v="2"/>
    <m/>
    <x v="2"/>
    <n v="20"/>
    <n v="20"/>
    <x v="6"/>
    <n v="0"/>
    <n v="0"/>
    <x v="0"/>
    <n v="0.9"/>
    <n v="0.9"/>
  </r>
  <r>
    <s v="FL250698"/>
    <s v="Eric Walsh"/>
    <s v="Eric Walsh"/>
    <s v="m"/>
    <s v="Male"/>
    <n v="42"/>
    <x v="12"/>
    <x v="10"/>
    <x v="6"/>
    <n v="0"/>
    <x v="2"/>
    <m/>
    <m/>
    <x v="5"/>
    <n v="3.9"/>
    <b v="0"/>
    <x v="0"/>
    <n v="0.62"/>
    <n v="0.62"/>
  </r>
  <r>
    <s v="FL250699"/>
    <s v="Carol Schneider"/>
    <s v="Carol Schneider"/>
    <s v="f"/>
    <s v="Female"/>
    <n v="54"/>
    <x v="5"/>
    <x v="1"/>
    <x v="9"/>
    <n v="9"/>
    <x v="3"/>
    <n v="100"/>
    <n v="100"/>
    <x v="0"/>
    <m/>
    <s v="N"/>
    <x v="0"/>
    <n v="0.72"/>
    <n v="0.72"/>
  </r>
  <r>
    <s v="FL250700"/>
    <s v="Juan Hines"/>
    <s v="Juan Hines"/>
    <s v="male"/>
    <s v="Male"/>
    <n v="56"/>
    <x v="18"/>
    <x v="15"/>
    <x v="6"/>
    <n v="18"/>
    <x v="4"/>
    <s v="USD 50"/>
    <s v="50"/>
    <x v="1"/>
    <n v="4.4000000000000004"/>
    <s v="Y"/>
    <x v="1"/>
    <n v="0.83"/>
    <n v="0.83"/>
  </r>
  <r>
    <s v="FL250701"/>
    <s v="Martha Sweeney"/>
    <s v="Martha Sweeney"/>
    <s v="f"/>
    <s v="Female"/>
    <n v="47"/>
    <x v="6"/>
    <x v="5"/>
    <x v="2"/>
    <n v="22"/>
    <x v="1"/>
    <n v="100"/>
    <n v="100"/>
    <x v="0"/>
    <n v="4.4000000000000004"/>
    <s v="no"/>
    <x v="0"/>
    <n v="0.7"/>
    <n v="0.7"/>
  </r>
  <r>
    <s v="FL250702"/>
    <s v="Jason Weaver"/>
    <s v="Jason Weaver"/>
    <s v="m"/>
    <s v="Male"/>
    <n v="45"/>
    <x v="13"/>
    <x v="11"/>
    <x v="0"/>
    <n v="25"/>
    <x v="1"/>
    <n v="50"/>
    <n v="50"/>
    <x v="1"/>
    <n v="0"/>
    <s v="no"/>
    <x v="0"/>
    <n v="99"/>
    <n v="0.99"/>
  </r>
  <r>
    <s v="FL250703"/>
    <s v="Benjamin Stevens"/>
    <s v="Benjamin Stevens"/>
    <s v="m"/>
    <s v="Male"/>
    <n v="45"/>
    <x v="18"/>
    <x v="15"/>
    <x v="5"/>
    <n v="6"/>
    <x v="3"/>
    <n v="50"/>
    <n v="50"/>
    <x v="1"/>
    <n v="1.4"/>
    <m/>
    <x v="2"/>
    <n v="97"/>
    <n v="0.97"/>
  </r>
  <r>
    <s v="FL250704"/>
    <s v="Daniel Lopez"/>
    <s v="Daniel Lopez"/>
    <s v="m"/>
    <s v="Male"/>
    <n v="35"/>
    <x v="14"/>
    <x v="1"/>
    <x v="9"/>
    <n v="10"/>
    <x v="3"/>
    <n v="20"/>
    <n v="20"/>
    <x v="6"/>
    <n v="3.2"/>
    <b v="1"/>
    <x v="1"/>
    <n v="0.77"/>
    <n v="0.77"/>
  </r>
  <r>
    <s v="FL250705"/>
    <s v="John Simpson"/>
    <s v="John Simpson"/>
    <s v="male"/>
    <s v="Male"/>
    <n v="51"/>
    <x v="14"/>
    <x v="1"/>
    <x v="8"/>
    <n v="4"/>
    <x v="2"/>
    <s v="USD 50"/>
    <s v="50"/>
    <x v="1"/>
    <n v="2"/>
    <s v="no"/>
    <x v="0"/>
    <n v="0.92"/>
    <n v="0.92"/>
  </r>
  <r>
    <s v="FL250706"/>
    <s v="Katrina Schultz"/>
    <s v="Katrina Schultz"/>
    <s v="f"/>
    <s v="Female"/>
    <n v="34"/>
    <x v="20"/>
    <x v="6"/>
    <x v="1"/>
    <n v="11"/>
    <x v="0"/>
    <n v="50"/>
    <n v="50"/>
    <x v="1"/>
    <n v="3.3"/>
    <s v="yes"/>
    <x v="1"/>
    <n v="0.76"/>
    <n v="0.76"/>
  </r>
  <r>
    <s v="FL250707"/>
    <s v="Danielle Bell"/>
    <s v="Danielle Bell"/>
    <s v="FEMALE"/>
    <s v="Female"/>
    <n v="51"/>
    <x v="4"/>
    <x v="4"/>
    <x v="2"/>
    <n v="1"/>
    <x v="2"/>
    <n v="50"/>
    <s v="50"/>
    <x v="1"/>
    <n v="0"/>
    <s v="Y"/>
    <x v="1"/>
    <n v="0.97"/>
    <n v="0.97"/>
  </r>
  <r>
    <s v="FL250708"/>
    <s v="Jason Brady"/>
    <s v="Jason Brady"/>
    <s v="m"/>
    <s v="Male"/>
    <n v="58"/>
    <x v="16"/>
    <x v="13"/>
    <x v="2"/>
    <n v="35"/>
    <x v="1"/>
    <s v="USD 100"/>
    <s v="100"/>
    <x v="0"/>
    <n v="2.2999999999999998"/>
    <s v="Y"/>
    <x v="1"/>
    <m/>
    <m/>
  </r>
  <r>
    <s v="FL250709"/>
    <s v="Megan Bright"/>
    <s v="Megan Bright"/>
    <s v="f"/>
    <s v="Female"/>
    <n v="36"/>
    <x v="3"/>
    <x v="3"/>
    <x v="3"/>
    <n v="17"/>
    <x v="4"/>
    <n v="20"/>
    <s v="20"/>
    <x v="6"/>
    <n v="0"/>
    <n v="1"/>
    <x v="1"/>
    <n v="99"/>
    <n v="0.99"/>
  </r>
  <r>
    <s v="FL250710"/>
    <s v="David Griffin"/>
    <s v="David Griffin"/>
    <s v="male"/>
    <s v="Male"/>
    <m/>
    <x v="13"/>
    <x v="11"/>
    <x v="4"/>
    <n v="12"/>
    <x v="0"/>
    <n v="30"/>
    <n v="30"/>
    <x v="3"/>
    <n v="2.6"/>
    <s v="Y"/>
    <x v="1"/>
    <m/>
    <m/>
  </r>
  <r>
    <s v="FL250711"/>
    <s v="Michael Clark"/>
    <s v="Michael Clark"/>
    <s v="m"/>
    <s v="Male"/>
    <n v="56"/>
    <x v="17"/>
    <x v="14"/>
    <x v="9"/>
    <n v="30"/>
    <x v="1"/>
    <n v="40"/>
    <n v="40"/>
    <x v="2"/>
    <n v="3.3"/>
    <s v="yes"/>
    <x v="1"/>
    <n v="0.82"/>
    <n v="0.82"/>
  </r>
  <r>
    <s v="FL250712"/>
    <s v="Rebecca Barker"/>
    <s v="Rebecca Barker"/>
    <s v="f"/>
    <s v="Female"/>
    <n v="58"/>
    <x v="14"/>
    <x v="1"/>
    <x v="7"/>
    <n v="20"/>
    <x v="4"/>
    <n v="75"/>
    <n v="75"/>
    <x v="4"/>
    <n v="3.6"/>
    <s v="yes"/>
    <x v="1"/>
    <n v="0.78"/>
    <n v="0.78"/>
  </r>
  <r>
    <s v="FL250713"/>
    <s v="Angela Smith"/>
    <s v="Angela Smith"/>
    <s v="f"/>
    <s v="Female"/>
    <n v="58"/>
    <x v="5"/>
    <x v="1"/>
    <x v="7"/>
    <n v="22"/>
    <x v="1"/>
    <n v="100"/>
    <n v="100"/>
    <x v="0"/>
    <n v="3.7"/>
    <n v="0"/>
    <x v="0"/>
    <m/>
    <m/>
  </r>
  <r>
    <s v="FL250714"/>
    <s v="Christina Wright"/>
    <s v="Christina Wright"/>
    <s v="f"/>
    <s v="Female"/>
    <n v="54"/>
    <x v="7"/>
    <x v="1"/>
    <x v="4"/>
    <n v="32"/>
    <x v="1"/>
    <n v="20"/>
    <s v="20"/>
    <x v="6"/>
    <n v="3.4"/>
    <s v="no"/>
    <x v="0"/>
    <m/>
    <m/>
  </r>
  <r>
    <s v="FL250715"/>
    <s v="Todd Turner"/>
    <s v="Todd Turner"/>
    <s v="male"/>
    <s v="Male"/>
    <n v="53"/>
    <x v="1"/>
    <x v="1"/>
    <x v="6"/>
    <n v="9"/>
    <x v="3"/>
    <n v="50"/>
    <n v="50"/>
    <x v="1"/>
    <n v="4"/>
    <s v="Y"/>
    <x v="1"/>
    <n v="0.72"/>
    <n v="0.72"/>
  </r>
  <r>
    <s v="FL250716"/>
    <s v="Elizabeth Green"/>
    <s v="Elizabeth Green"/>
    <s v="FEMALE"/>
    <s v="Female"/>
    <n v="43"/>
    <x v="1"/>
    <x v="1"/>
    <x v="3"/>
    <n v="22"/>
    <x v="1"/>
    <n v="40"/>
    <n v="40"/>
    <x v="2"/>
    <n v="4.5"/>
    <m/>
    <x v="2"/>
    <m/>
    <m/>
  </r>
  <r>
    <s v="FL250717"/>
    <s v="Alex Smith"/>
    <s v="Alex Smith"/>
    <s v="m"/>
    <s v="Male"/>
    <n v="44"/>
    <x v="12"/>
    <x v="10"/>
    <x v="9"/>
    <n v="1"/>
    <x v="2"/>
    <n v="75"/>
    <n v="75"/>
    <x v="4"/>
    <n v="4.3"/>
    <n v="1"/>
    <x v="1"/>
    <m/>
    <m/>
  </r>
  <r>
    <s v="FL250718"/>
    <s v="Shane Hale"/>
    <s v="Shane Hale"/>
    <s v="m"/>
    <s v="Male"/>
    <n v="34"/>
    <x v="14"/>
    <x v="1"/>
    <x v="7"/>
    <n v="4"/>
    <x v="2"/>
    <n v="75"/>
    <n v="75"/>
    <x v="4"/>
    <n v="4"/>
    <n v="1"/>
    <x v="1"/>
    <m/>
    <m/>
  </r>
  <r>
    <s v="FL250719"/>
    <s v="Kathy Grimes"/>
    <s v="Kathy Grimes"/>
    <s v="FEMALE"/>
    <s v="Female"/>
    <n v="27"/>
    <x v="11"/>
    <x v="9"/>
    <x v="1"/>
    <n v="8"/>
    <x v="3"/>
    <n v="50"/>
    <s v="50"/>
    <x v="1"/>
    <n v="1.6"/>
    <s v="yes"/>
    <x v="1"/>
    <m/>
    <m/>
  </r>
  <r>
    <s v="FL250720"/>
    <s v="David Cherry"/>
    <s v="David Cherry"/>
    <s v="m"/>
    <s v="Male"/>
    <n v="50"/>
    <x v="9"/>
    <x v="7"/>
    <x v="5"/>
    <n v="3"/>
    <x v="2"/>
    <n v="100"/>
    <n v="100"/>
    <x v="0"/>
    <n v="0"/>
    <s v="Y"/>
    <x v="1"/>
    <m/>
    <m/>
  </r>
  <r>
    <s v="FL250721"/>
    <s v="Rachel Rogers"/>
    <s v="Rachel Rogers"/>
    <s v="FEMALE"/>
    <s v="Female"/>
    <n v="52"/>
    <x v="12"/>
    <x v="10"/>
    <x v="6"/>
    <n v="30"/>
    <x v="1"/>
    <n v="75"/>
    <n v="75"/>
    <x v="4"/>
    <m/>
    <s v="no"/>
    <x v="0"/>
    <n v="0.94"/>
    <n v="0.94"/>
  </r>
  <r>
    <s v="FL250722"/>
    <s v="Travis Braun"/>
    <s v="Travis Braun"/>
    <s v="male"/>
    <s v="Male"/>
    <n v="57"/>
    <x v="20"/>
    <x v="6"/>
    <x v="0"/>
    <n v="11"/>
    <x v="0"/>
    <s v="USD 20"/>
    <s v="20"/>
    <x v="6"/>
    <n v="4.9000000000000004"/>
    <s v="Y"/>
    <x v="1"/>
    <m/>
    <m/>
  </r>
  <r>
    <s v="FL250723"/>
    <s v="Shawna Palmer"/>
    <s v="Shawna Palmer"/>
    <s v="FEMALE"/>
    <s v="Female"/>
    <n v="53"/>
    <x v="19"/>
    <x v="6"/>
    <x v="8"/>
    <n v="8"/>
    <x v="3"/>
    <n v="20"/>
    <n v="20"/>
    <x v="6"/>
    <n v="2.8"/>
    <b v="1"/>
    <x v="1"/>
    <m/>
    <m/>
  </r>
  <r>
    <s v="FL250724"/>
    <s v="Bradley Gaines"/>
    <s v="Bradley Gaines"/>
    <s v="m"/>
    <s v="Male"/>
    <n v="51"/>
    <x v="6"/>
    <x v="5"/>
    <x v="6"/>
    <n v="11"/>
    <x v="0"/>
    <s v="USD 30"/>
    <s v="30"/>
    <x v="3"/>
    <n v="3.6"/>
    <s v="Y"/>
    <x v="1"/>
    <n v="0.77"/>
    <n v="0.77"/>
  </r>
  <r>
    <s v="FL250725"/>
    <s v="April Ford"/>
    <s v="April Ford"/>
    <s v="FEMALE"/>
    <s v="Female"/>
    <n v="37"/>
    <x v="14"/>
    <x v="1"/>
    <x v="7"/>
    <n v="9"/>
    <x v="3"/>
    <n v="50"/>
    <s v="50"/>
    <x v="1"/>
    <m/>
    <s v="yes"/>
    <x v="1"/>
    <n v="84"/>
    <n v="0.84"/>
  </r>
  <r>
    <s v="FL250726"/>
    <s v="James Gonzalez"/>
    <s v="James Gonzalez"/>
    <s v="male"/>
    <s v="Male"/>
    <n v="40"/>
    <x v="20"/>
    <x v="6"/>
    <x v="3"/>
    <n v="7"/>
    <x v="3"/>
    <n v="40"/>
    <n v="40"/>
    <x v="2"/>
    <n v="4.5"/>
    <m/>
    <x v="2"/>
    <n v="79"/>
    <n v="0.79"/>
  </r>
  <r>
    <s v="FL250727"/>
    <s v="John Castillo"/>
    <s v="John Castillo"/>
    <s v="m"/>
    <s v="Male"/>
    <n v="60"/>
    <x v="9"/>
    <x v="7"/>
    <x v="5"/>
    <n v="24"/>
    <x v="1"/>
    <s v="USD 40"/>
    <s v="40"/>
    <x v="2"/>
    <n v="3.1"/>
    <n v="0"/>
    <x v="0"/>
    <n v="0.69"/>
    <n v="0.69"/>
  </r>
  <r>
    <s v="FL250728"/>
    <s v="Ian Hayes"/>
    <s v="Ian Hayes"/>
    <s v="m"/>
    <s v="Male"/>
    <n v="60"/>
    <x v="15"/>
    <x v="12"/>
    <x v="6"/>
    <n v="0"/>
    <x v="2"/>
    <n v="40"/>
    <n v="40"/>
    <x v="2"/>
    <n v="4.9000000000000004"/>
    <s v="Y"/>
    <x v="1"/>
    <n v="0.68"/>
    <n v="0.68"/>
  </r>
  <r>
    <s v="FL250729"/>
    <s v="Christine Castro"/>
    <s v="Christine Castro"/>
    <s v="FEMALE"/>
    <s v="Female"/>
    <n v="53"/>
    <x v="12"/>
    <x v="10"/>
    <x v="6"/>
    <n v="21"/>
    <x v="1"/>
    <n v="30"/>
    <s v="30"/>
    <x v="3"/>
    <n v="4.2"/>
    <n v="1"/>
    <x v="1"/>
    <n v="73"/>
    <n v="0.73"/>
  </r>
  <r>
    <s v="FL250730"/>
    <s v="Jessica Chaney"/>
    <s v="Jessica Chaney"/>
    <s v="FEMALE"/>
    <s v="Female"/>
    <n v="20"/>
    <x v="19"/>
    <x v="6"/>
    <x v="0"/>
    <n v="0"/>
    <x v="2"/>
    <n v="75"/>
    <n v="75"/>
    <x v="4"/>
    <n v="3.2"/>
    <n v="1"/>
    <x v="1"/>
    <n v="0.74"/>
    <n v="0.74"/>
  </r>
  <r>
    <s v="FL250731"/>
    <s v="John Gray"/>
    <s v="John Gray"/>
    <s v="male"/>
    <s v="Male"/>
    <n v="42"/>
    <x v="13"/>
    <x v="11"/>
    <x v="3"/>
    <n v="7"/>
    <x v="3"/>
    <s v="USD 20"/>
    <s v="20"/>
    <x v="6"/>
    <m/>
    <b v="0"/>
    <x v="0"/>
    <n v="1"/>
    <n v="1"/>
  </r>
  <r>
    <s v="FL250732"/>
    <s v="Shane Booker"/>
    <s v="Shane Booker"/>
    <s v="m"/>
    <s v="Male"/>
    <n v="21"/>
    <x v="7"/>
    <x v="1"/>
    <x v="1"/>
    <n v="3"/>
    <x v="2"/>
    <n v="40"/>
    <n v="40"/>
    <x v="2"/>
    <n v="0"/>
    <n v="0"/>
    <x v="0"/>
    <n v="0.87"/>
    <n v="0.87"/>
  </r>
  <r>
    <s v="FL250733"/>
    <s v="Kyle Hall"/>
    <s v="Kyle Hall"/>
    <s v="m"/>
    <s v="Male"/>
    <n v="39"/>
    <x v="2"/>
    <x v="2"/>
    <x v="3"/>
    <n v="21"/>
    <x v="1"/>
    <n v="100"/>
    <n v="100"/>
    <x v="0"/>
    <n v="2.2000000000000002"/>
    <n v="0"/>
    <x v="0"/>
    <n v="0.79"/>
    <n v="0.79"/>
  </r>
  <r>
    <s v="FL250734"/>
    <s v="Ronald Munoz"/>
    <s v="Ronald Munoz"/>
    <s v="m"/>
    <s v="Male"/>
    <n v="32"/>
    <x v="10"/>
    <x v="8"/>
    <x v="0"/>
    <m/>
    <x v="2"/>
    <n v="30"/>
    <n v="30"/>
    <x v="3"/>
    <n v="1.5"/>
    <n v="0"/>
    <x v="0"/>
    <n v="0.68"/>
    <n v="0.68"/>
  </r>
  <r>
    <s v="FL250735"/>
    <s v="Christopher Long"/>
    <s v="Christopher Long"/>
    <s v="m"/>
    <s v="Male"/>
    <n v="35"/>
    <x v="2"/>
    <x v="2"/>
    <x v="5"/>
    <m/>
    <x v="2"/>
    <s v="USD 100"/>
    <s v="100"/>
    <x v="0"/>
    <m/>
    <n v="0"/>
    <x v="0"/>
    <n v="0.84"/>
    <n v="0.84"/>
  </r>
  <r>
    <s v="FL250736"/>
    <s v="Sandra Ali"/>
    <s v="Sandra Ali"/>
    <s v="f"/>
    <s v="Female"/>
    <n v="35"/>
    <x v="15"/>
    <x v="12"/>
    <x v="6"/>
    <n v="17"/>
    <x v="4"/>
    <n v="50"/>
    <n v="50"/>
    <x v="1"/>
    <n v="3.1"/>
    <n v="0"/>
    <x v="0"/>
    <n v="0.71"/>
    <n v="0.71"/>
  </r>
  <r>
    <s v="FL250737"/>
    <s v="Jessica Garza"/>
    <s v="Jessica Garza"/>
    <s v="FEMALE"/>
    <s v="Female"/>
    <n v="23"/>
    <x v="8"/>
    <x v="6"/>
    <x v="6"/>
    <n v="0"/>
    <x v="2"/>
    <n v="75"/>
    <n v="75"/>
    <x v="4"/>
    <n v="0"/>
    <s v="no"/>
    <x v="0"/>
    <n v="0.92"/>
    <n v="0.92"/>
  </r>
  <r>
    <s v="FL250738"/>
    <s v="Gregory Waters"/>
    <s v="Gregory Waters"/>
    <s v="m"/>
    <s v="Male"/>
    <n v="26"/>
    <x v="3"/>
    <x v="3"/>
    <x v="4"/>
    <n v="6"/>
    <x v="3"/>
    <s v="USD 100"/>
    <s v="100"/>
    <x v="0"/>
    <m/>
    <s v="no"/>
    <x v="0"/>
    <n v="0.69"/>
    <n v="0.69"/>
  </r>
  <r>
    <s v="FL250739"/>
    <s v="Misty Adams"/>
    <s v="Misty Adams"/>
    <s v="f"/>
    <s v="Female"/>
    <n v="34"/>
    <x v="14"/>
    <x v="1"/>
    <x v="9"/>
    <n v="3"/>
    <x v="2"/>
    <m/>
    <m/>
    <x v="5"/>
    <n v="0"/>
    <n v="1"/>
    <x v="1"/>
    <n v="0.71"/>
    <n v="0.71"/>
  </r>
  <r>
    <s v="FL250740"/>
    <s v="Megan Brown"/>
    <s v="Megan Brown"/>
    <s v="FEMALE"/>
    <s v="Female"/>
    <n v="34"/>
    <x v="2"/>
    <x v="2"/>
    <x v="0"/>
    <n v="3"/>
    <x v="2"/>
    <m/>
    <m/>
    <x v="5"/>
    <m/>
    <b v="0"/>
    <x v="0"/>
    <n v="0.77"/>
    <n v="0.77"/>
  </r>
  <r>
    <s v="FL250741"/>
    <s v="Gregory Brown"/>
    <s v="Gregory Brown"/>
    <s v="m"/>
    <s v="Male"/>
    <n v="57"/>
    <x v="0"/>
    <x v="0"/>
    <x v="3"/>
    <n v="31"/>
    <x v="1"/>
    <n v="50"/>
    <n v="50"/>
    <x v="1"/>
    <n v="3"/>
    <b v="1"/>
    <x v="1"/>
    <n v="0.87"/>
    <n v="0.87"/>
  </r>
  <r>
    <s v="FL250742"/>
    <s v="Scott Alexander MD"/>
    <s v="Scott Alexander MD"/>
    <s v="male"/>
    <s v="Male"/>
    <n v="46"/>
    <x v="14"/>
    <x v="1"/>
    <x v="3"/>
    <n v="5"/>
    <x v="2"/>
    <n v="30"/>
    <s v="30"/>
    <x v="3"/>
    <n v="2.6"/>
    <s v="no"/>
    <x v="0"/>
    <n v="0.76"/>
    <n v="0.76"/>
  </r>
  <r>
    <s v="FL250743"/>
    <s v="Eric Nguyen"/>
    <s v="Eric Nguyen"/>
    <s v="male"/>
    <s v="Male"/>
    <n v="55"/>
    <x v="10"/>
    <x v="8"/>
    <x v="4"/>
    <n v="37"/>
    <x v="1"/>
    <s v="USD 75"/>
    <s v="75"/>
    <x v="4"/>
    <n v="4.0999999999999996"/>
    <s v="no"/>
    <x v="0"/>
    <m/>
    <m/>
  </r>
  <r>
    <s v="FL250744"/>
    <s v="Wendy Boyer"/>
    <s v="Wendy Boyer"/>
    <s v="FEMALE"/>
    <s v="Female"/>
    <n v="32"/>
    <x v="1"/>
    <x v="1"/>
    <x v="8"/>
    <n v="10"/>
    <x v="3"/>
    <s v="USD 50"/>
    <s v="50"/>
    <x v="1"/>
    <n v="1.5"/>
    <b v="0"/>
    <x v="0"/>
    <n v="0.65"/>
    <n v="0.65"/>
  </r>
  <r>
    <s v="FL250745"/>
    <s v="Mark Clark"/>
    <s v="Mark Clark"/>
    <s v="m"/>
    <s v="Male"/>
    <n v="53"/>
    <x v="4"/>
    <x v="4"/>
    <x v="4"/>
    <n v="28"/>
    <x v="1"/>
    <s v="USD 50"/>
    <s v="50"/>
    <x v="1"/>
    <n v="2.9"/>
    <s v="yes"/>
    <x v="1"/>
    <n v="0.82"/>
    <n v="0.82"/>
  </r>
  <r>
    <s v="FL250746"/>
    <s v="Carl Kline"/>
    <s v="Carl Kline"/>
    <s v="male"/>
    <s v="Male"/>
    <n v="59"/>
    <x v="19"/>
    <x v="6"/>
    <x v="4"/>
    <n v="0"/>
    <x v="2"/>
    <n v="100"/>
    <n v="100"/>
    <x v="0"/>
    <n v="0"/>
    <s v="Y"/>
    <x v="1"/>
    <n v="87"/>
    <n v="0.87"/>
  </r>
  <r>
    <s v="FL250747"/>
    <s v="Linda Williams"/>
    <s v="Linda Williams"/>
    <s v="f"/>
    <s v="Female"/>
    <n v="44"/>
    <x v="3"/>
    <x v="3"/>
    <x v="9"/>
    <n v="19"/>
    <x v="4"/>
    <n v="40"/>
    <s v="40"/>
    <x v="2"/>
    <n v="4.9000000000000004"/>
    <s v="N"/>
    <x v="0"/>
    <n v="1"/>
    <n v="1"/>
  </r>
  <r>
    <s v="FL250748"/>
    <s v="Jason Edwards"/>
    <s v="Jason Edwards"/>
    <s v="male"/>
    <s v="Male"/>
    <n v="35"/>
    <x v="16"/>
    <x v="13"/>
    <x v="0"/>
    <n v="9"/>
    <x v="3"/>
    <s v="USD 50"/>
    <s v="50"/>
    <x v="1"/>
    <n v="3"/>
    <s v="N"/>
    <x v="0"/>
    <n v="71"/>
    <n v="0.71"/>
  </r>
  <r>
    <s v="FL250749"/>
    <s v="Madison Mcintosh"/>
    <s v="Madison Mcintosh"/>
    <s v="f"/>
    <s v="Female"/>
    <n v="42"/>
    <x v="18"/>
    <x v="15"/>
    <x v="9"/>
    <n v="5"/>
    <x v="2"/>
    <n v="30"/>
    <n v="30"/>
    <x v="3"/>
    <n v="4.9000000000000004"/>
    <n v="1"/>
    <x v="1"/>
    <n v="87"/>
    <n v="0.87"/>
  </r>
  <r>
    <s v="FL250750"/>
    <s v="Desiree Winters"/>
    <s v="Desiree Winters"/>
    <s v="f"/>
    <s v="Female"/>
    <n v="58"/>
    <x v="12"/>
    <x v="10"/>
    <x v="0"/>
    <n v="0"/>
    <x v="2"/>
    <s v="USD 30"/>
    <s v="30"/>
    <x v="3"/>
    <n v="4.5999999999999996"/>
    <n v="0"/>
    <x v="0"/>
    <n v="70"/>
    <n v="0.7"/>
  </r>
  <r>
    <s v="FL250751"/>
    <s v="Ryan Taylor"/>
    <s v="Ryan Taylor"/>
    <s v="male"/>
    <s v="Male"/>
    <n v="41"/>
    <x v="3"/>
    <x v="3"/>
    <x v="4"/>
    <n v="21"/>
    <x v="1"/>
    <s v="USD 100"/>
    <s v="100"/>
    <x v="0"/>
    <n v="2.2000000000000002"/>
    <n v="1"/>
    <x v="1"/>
    <n v="0.83"/>
    <n v="0.83"/>
  </r>
  <r>
    <s v="FL250752"/>
    <s v="Patricia Scott"/>
    <s v="Patricia Scott"/>
    <s v="FEMALE"/>
    <s v="Female"/>
    <m/>
    <x v="8"/>
    <x v="6"/>
    <x v="3"/>
    <n v="0"/>
    <x v="2"/>
    <n v="40"/>
    <n v="40"/>
    <x v="2"/>
    <m/>
    <s v="Y"/>
    <x v="1"/>
    <n v="0.74"/>
    <n v="0.74"/>
  </r>
  <r>
    <s v="FL250753"/>
    <s v="Erin Jimenez"/>
    <s v="Erin Jimenez"/>
    <s v="FEMALE"/>
    <s v="Female"/>
    <n v="23"/>
    <x v="14"/>
    <x v="1"/>
    <x v="0"/>
    <n v="0"/>
    <x v="2"/>
    <n v="30"/>
    <n v="30"/>
    <x v="3"/>
    <n v="1.1000000000000001"/>
    <s v="yes"/>
    <x v="1"/>
    <n v="0.86"/>
    <n v="0.86"/>
  </r>
  <r>
    <s v="FL250754"/>
    <s v="Anthony Krause"/>
    <s v="Anthony Krause"/>
    <s v="m"/>
    <s v="Male"/>
    <n v="51"/>
    <x v="18"/>
    <x v="15"/>
    <x v="0"/>
    <n v="17"/>
    <x v="4"/>
    <n v="40"/>
    <n v="40"/>
    <x v="2"/>
    <n v="4.5"/>
    <n v="1"/>
    <x v="1"/>
    <n v="0.72"/>
    <n v="0.72"/>
  </r>
  <r>
    <s v="FL250755"/>
    <s v="Diane Dean"/>
    <s v="Diane Dean"/>
    <s v="FEMALE"/>
    <s v="Female"/>
    <n v="42"/>
    <x v="15"/>
    <x v="12"/>
    <x v="4"/>
    <n v="21"/>
    <x v="1"/>
    <m/>
    <m/>
    <x v="5"/>
    <n v="2.5"/>
    <b v="1"/>
    <x v="1"/>
    <n v="0.73"/>
    <n v="0.73"/>
  </r>
  <r>
    <s v="FL250756"/>
    <s v="Stuart Mckinney"/>
    <s v="Stuart Mckinney"/>
    <s v="male"/>
    <s v="Male"/>
    <n v="26"/>
    <x v="9"/>
    <x v="7"/>
    <x v="5"/>
    <n v="7"/>
    <x v="3"/>
    <s v="USD 75"/>
    <s v="75"/>
    <x v="4"/>
    <n v="2.9"/>
    <n v="0"/>
    <x v="0"/>
    <n v="0.78"/>
    <n v="0.78"/>
  </r>
  <r>
    <s v="FL250757"/>
    <s v="Kellie Le"/>
    <s v="Kellie Le"/>
    <s v="f"/>
    <s v="Female"/>
    <n v="49"/>
    <x v="4"/>
    <x v="4"/>
    <x v="4"/>
    <n v="22"/>
    <x v="1"/>
    <n v="75"/>
    <n v="75"/>
    <x v="4"/>
    <n v="0"/>
    <b v="1"/>
    <x v="1"/>
    <m/>
    <m/>
  </r>
  <r>
    <s v="FL250758"/>
    <s v="Lauren Henry"/>
    <s v="Lauren Henry"/>
    <s v="FEMALE"/>
    <s v="Female"/>
    <n v="37"/>
    <x v="0"/>
    <x v="0"/>
    <x v="8"/>
    <m/>
    <x v="2"/>
    <s v="USD 75"/>
    <s v="75"/>
    <x v="4"/>
    <n v="3.5"/>
    <s v="N"/>
    <x v="0"/>
    <n v="0.75"/>
    <n v="0.75"/>
  </r>
  <r>
    <s v="FL250759"/>
    <s v="Brandon Fox"/>
    <s v="Brandon Fox"/>
    <s v="m"/>
    <s v="Male"/>
    <n v="31"/>
    <x v="1"/>
    <x v="1"/>
    <x v="4"/>
    <n v="1"/>
    <x v="2"/>
    <n v="40"/>
    <n v="40"/>
    <x v="2"/>
    <n v="4.5"/>
    <n v="0"/>
    <x v="0"/>
    <n v="0.96"/>
    <n v="0.96"/>
  </r>
  <r>
    <s v="FL250760"/>
    <s v="Richard Smith"/>
    <s v="Richard Smith"/>
    <s v="male"/>
    <s v="Male"/>
    <n v="51"/>
    <x v="12"/>
    <x v="10"/>
    <x v="1"/>
    <n v="5"/>
    <x v="2"/>
    <s v="USD 40"/>
    <s v="40"/>
    <x v="2"/>
    <n v="1.7"/>
    <s v="yes"/>
    <x v="1"/>
    <n v="0.61"/>
    <n v="0.61"/>
  </r>
  <r>
    <s v="FL250761"/>
    <s v="John White"/>
    <s v="John White"/>
    <s v="m"/>
    <s v="Male"/>
    <n v="60"/>
    <x v="18"/>
    <x v="15"/>
    <x v="8"/>
    <n v="40"/>
    <x v="1"/>
    <n v="50"/>
    <n v="50"/>
    <x v="1"/>
    <n v="4.5999999999999996"/>
    <b v="1"/>
    <x v="1"/>
    <n v="1"/>
    <n v="1"/>
  </r>
  <r>
    <s v="FL250762"/>
    <s v="Gilbert Mcintyre"/>
    <s v="Gilbert Mcintyre"/>
    <s v="m"/>
    <s v="Male"/>
    <n v="51"/>
    <x v="14"/>
    <x v="1"/>
    <x v="0"/>
    <n v="19"/>
    <x v="4"/>
    <n v="50"/>
    <n v="50"/>
    <x v="1"/>
    <m/>
    <s v="Y"/>
    <x v="1"/>
    <n v="0.82"/>
    <n v="0.82"/>
  </r>
  <r>
    <s v="FL250763"/>
    <s v="Christopher Sparks"/>
    <s v="Christopher Sparks"/>
    <s v="m"/>
    <s v="Male"/>
    <n v="37"/>
    <x v="2"/>
    <x v="2"/>
    <x v="2"/>
    <n v="12"/>
    <x v="0"/>
    <m/>
    <m/>
    <x v="5"/>
    <n v="4.9000000000000004"/>
    <n v="1"/>
    <x v="1"/>
    <n v="0.8"/>
    <n v="0.8"/>
  </r>
  <r>
    <s v="FL250764"/>
    <s v="Aaron Hicks"/>
    <s v="Aaron Hicks"/>
    <s v="male"/>
    <s v="Male"/>
    <n v="52"/>
    <x v="10"/>
    <x v="8"/>
    <x v="0"/>
    <n v="7"/>
    <x v="3"/>
    <n v="40"/>
    <n v="40"/>
    <x v="2"/>
    <n v="2.2000000000000002"/>
    <m/>
    <x v="2"/>
    <n v="0.96"/>
    <n v="0.96"/>
  </r>
  <r>
    <s v="FL250765"/>
    <s v="Jose Patterson"/>
    <s v="Jose Patterson"/>
    <s v="m"/>
    <s v="Male"/>
    <n v="27"/>
    <x v="4"/>
    <x v="4"/>
    <x v="0"/>
    <n v="4"/>
    <x v="2"/>
    <n v="20"/>
    <n v="20"/>
    <x v="6"/>
    <m/>
    <n v="0"/>
    <x v="0"/>
    <n v="0.63"/>
    <n v="0.63"/>
  </r>
  <r>
    <s v="FL250766"/>
    <s v="Bryan Long"/>
    <s v="Bryan Long"/>
    <s v="m"/>
    <s v="Male"/>
    <n v="48"/>
    <x v="1"/>
    <x v="1"/>
    <x v="2"/>
    <n v="24"/>
    <x v="1"/>
    <n v="40"/>
    <s v="40"/>
    <x v="2"/>
    <n v="2.2000000000000002"/>
    <n v="0"/>
    <x v="0"/>
    <n v="0.67"/>
    <n v="0.67"/>
  </r>
  <r>
    <s v="FL250767"/>
    <s v="Tammy Gomez"/>
    <s v="Tammy Gomez"/>
    <s v="f"/>
    <s v="Female"/>
    <n v="22"/>
    <x v="9"/>
    <x v="7"/>
    <x v="5"/>
    <n v="1"/>
    <x v="2"/>
    <s v="USD 30"/>
    <s v="30"/>
    <x v="3"/>
    <n v="3.3"/>
    <n v="1"/>
    <x v="1"/>
    <n v="0.61"/>
    <n v="0.61"/>
  </r>
  <r>
    <s v="FL250768"/>
    <s v="Diana Raymond"/>
    <s v="Diana Raymond"/>
    <s v="FEMALE"/>
    <s v="Female"/>
    <n v="48"/>
    <x v="2"/>
    <x v="2"/>
    <x v="1"/>
    <n v="28"/>
    <x v="1"/>
    <s v="USD 30"/>
    <s v="30"/>
    <x v="3"/>
    <n v="4.9000000000000004"/>
    <n v="0"/>
    <x v="0"/>
    <n v="0.77"/>
    <n v="0.77"/>
  </r>
  <r>
    <s v="FL250769"/>
    <s v="Jessica Armstrong"/>
    <s v="Jessica Armstrong"/>
    <s v="f"/>
    <s v="Female"/>
    <n v="54"/>
    <x v="5"/>
    <x v="1"/>
    <x v="1"/>
    <n v="19"/>
    <x v="4"/>
    <n v="75"/>
    <n v="75"/>
    <x v="4"/>
    <n v="0"/>
    <m/>
    <x v="2"/>
    <m/>
    <m/>
  </r>
  <r>
    <s v="FL250770"/>
    <s v="Amanda Martin"/>
    <s v="Amanda Martin"/>
    <s v="FEMALE"/>
    <s v="Female"/>
    <n v="52"/>
    <x v="12"/>
    <x v="10"/>
    <x v="5"/>
    <n v="4"/>
    <x v="2"/>
    <n v="50"/>
    <n v="50"/>
    <x v="1"/>
    <m/>
    <s v="N"/>
    <x v="0"/>
    <n v="0.84"/>
    <n v="0.84"/>
  </r>
  <r>
    <s v="FL250771"/>
    <s v="Anne Hamilton"/>
    <s v="Anne Hamilton"/>
    <s v="FEMALE"/>
    <s v="Female"/>
    <n v="39"/>
    <x v="6"/>
    <x v="5"/>
    <x v="3"/>
    <n v="20"/>
    <x v="4"/>
    <s v="USD 100"/>
    <s v="100"/>
    <x v="0"/>
    <m/>
    <s v="Y"/>
    <x v="1"/>
    <n v="0.89"/>
    <n v="0.89"/>
  </r>
  <r>
    <s v="FL250772"/>
    <s v="Heather Curtis"/>
    <s v="Heather Curtis"/>
    <s v="f"/>
    <s v="Female"/>
    <n v="54"/>
    <x v="13"/>
    <x v="11"/>
    <x v="1"/>
    <n v="19"/>
    <x v="4"/>
    <s v="USD 30"/>
    <s v="30"/>
    <x v="3"/>
    <n v="4"/>
    <m/>
    <x v="2"/>
    <n v="0.9"/>
    <n v="0.9"/>
  </r>
  <r>
    <s v="FL250773"/>
    <s v="Tiffany Moses"/>
    <s v="Tiffany Moses"/>
    <s v="FEMALE"/>
    <s v="Female"/>
    <n v="22"/>
    <x v="5"/>
    <x v="1"/>
    <x v="7"/>
    <n v="1"/>
    <x v="2"/>
    <n v="20"/>
    <n v="20"/>
    <x v="6"/>
    <n v="4.8"/>
    <b v="0"/>
    <x v="0"/>
    <n v="0.87"/>
    <n v="0.87"/>
  </r>
  <r>
    <s v="FL250774"/>
    <s v="Jacqueline Moon"/>
    <s v="Jacqueline Moon"/>
    <s v="FEMALE"/>
    <s v="Female"/>
    <n v="29"/>
    <x v="17"/>
    <x v="14"/>
    <x v="1"/>
    <n v="8"/>
    <x v="3"/>
    <n v="50"/>
    <n v="50"/>
    <x v="1"/>
    <n v="0"/>
    <n v="0"/>
    <x v="0"/>
    <n v="0.77"/>
    <n v="0.77"/>
  </r>
  <r>
    <s v="FL250775"/>
    <s v="James Campbell"/>
    <s v="James Campbell"/>
    <s v="m"/>
    <s v="Male"/>
    <n v="23"/>
    <x v="20"/>
    <x v="6"/>
    <x v="8"/>
    <n v="3"/>
    <x v="2"/>
    <s v="USD 30"/>
    <s v="30"/>
    <x v="3"/>
    <n v="1.6"/>
    <s v="Y"/>
    <x v="1"/>
    <n v="0.72"/>
    <n v="0.72"/>
  </r>
  <r>
    <s v="FL250776"/>
    <s v="Melissa Vasquez"/>
    <s v="Melissa Vasquez"/>
    <s v="f"/>
    <s v="Female"/>
    <n v="58"/>
    <x v="19"/>
    <x v="6"/>
    <x v="8"/>
    <n v="30"/>
    <x v="1"/>
    <n v="50"/>
    <n v="50"/>
    <x v="1"/>
    <n v="1.3"/>
    <s v="yes"/>
    <x v="1"/>
    <n v="0.87"/>
    <n v="0.87"/>
  </r>
  <r>
    <s v="FL250777"/>
    <s v="Katherine Carlson"/>
    <s v="Katherine Carlson"/>
    <s v="f"/>
    <s v="Female"/>
    <n v="56"/>
    <x v="18"/>
    <x v="15"/>
    <x v="0"/>
    <n v="3"/>
    <x v="2"/>
    <n v="40"/>
    <n v="40"/>
    <x v="2"/>
    <n v="4.0999999999999996"/>
    <b v="1"/>
    <x v="1"/>
    <n v="0.89"/>
    <n v="0.89"/>
  </r>
  <r>
    <s v="FL250778"/>
    <s v="Adam Clay"/>
    <s v="Adam Clay"/>
    <s v="m"/>
    <s v="Male"/>
    <n v="48"/>
    <x v="6"/>
    <x v="5"/>
    <x v="3"/>
    <n v="19"/>
    <x v="4"/>
    <n v="40"/>
    <n v="40"/>
    <x v="2"/>
    <n v="1.5"/>
    <n v="0"/>
    <x v="0"/>
    <n v="0.87"/>
    <n v="0.87"/>
  </r>
  <r>
    <s v="FL250779"/>
    <s v="Amy Combs"/>
    <s v="Amy Combs"/>
    <s v="FEMALE"/>
    <s v="Female"/>
    <n v="31"/>
    <x v="13"/>
    <x v="11"/>
    <x v="1"/>
    <n v="11"/>
    <x v="0"/>
    <s v="USD 40"/>
    <s v="40"/>
    <x v="2"/>
    <n v="4.3"/>
    <s v="Y"/>
    <x v="1"/>
    <n v="0.76"/>
    <n v="0.76"/>
  </r>
  <r>
    <s v="FL250780"/>
    <s v="Anthony Case"/>
    <s v="Anthony Case"/>
    <s v="m"/>
    <s v="Male"/>
    <n v="44"/>
    <x v="1"/>
    <x v="1"/>
    <x v="9"/>
    <n v="26"/>
    <x v="1"/>
    <n v="50"/>
    <n v="50"/>
    <x v="1"/>
    <n v="1.6"/>
    <m/>
    <x v="2"/>
    <n v="1"/>
    <n v="1"/>
  </r>
  <r>
    <s v="FL250781"/>
    <s v="Kimberly Brown"/>
    <s v="Kimberly Brown"/>
    <s v="f"/>
    <s v="Female"/>
    <n v="42"/>
    <x v="16"/>
    <x v="13"/>
    <x v="1"/>
    <n v="10"/>
    <x v="3"/>
    <n v="100"/>
    <n v="100"/>
    <x v="0"/>
    <n v="3.7"/>
    <s v="Y"/>
    <x v="1"/>
    <n v="0.94"/>
    <n v="0.94"/>
  </r>
  <r>
    <s v="FL250782"/>
    <s v="Joshua Holloway"/>
    <s v="Joshua Holloway"/>
    <s v="male"/>
    <s v="Male"/>
    <n v="59"/>
    <x v="5"/>
    <x v="1"/>
    <x v="7"/>
    <n v="17"/>
    <x v="4"/>
    <n v="50"/>
    <n v="50"/>
    <x v="1"/>
    <n v="1.4"/>
    <s v="yes"/>
    <x v="1"/>
    <m/>
    <m/>
  </r>
  <r>
    <s v="FL250783"/>
    <s v="Cynthia Walton"/>
    <s v="Cynthia Walton"/>
    <s v="f"/>
    <s v="Female"/>
    <m/>
    <x v="8"/>
    <x v="6"/>
    <x v="0"/>
    <n v="9"/>
    <x v="3"/>
    <n v="100"/>
    <s v="100"/>
    <x v="0"/>
    <n v="4.5"/>
    <s v="Y"/>
    <x v="1"/>
    <n v="83"/>
    <n v="0.83"/>
  </r>
  <r>
    <s v="FL250784"/>
    <s v="Shawn Delgado"/>
    <s v="Shawn Delgado"/>
    <s v="m"/>
    <s v="Male"/>
    <n v="21"/>
    <x v="18"/>
    <x v="15"/>
    <x v="5"/>
    <n v="0"/>
    <x v="2"/>
    <s v="USD 40"/>
    <s v="40"/>
    <x v="2"/>
    <n v="3.7"/>
    <n v="0"/>
    <x v="0"/>
    <n v="0.74"/>
    <n v="0.74"/>
  </r>
  <r>
    <s v="FL250785"/>
    <s v="Jeremy Smith"/>
    <s v="Jeremy Smith"/>
    <s v="male"/>
    <s v="Male"/>
    <n v="53"/>
    <x v="7"/>
    <x v="1"/>
    <x v="8"/>
    <n v="5"/>
    <x v="2"/>
    <n v="75"/>
    <n v="75"/>
    <x v="4"/>
    <n v="1.1000000000000001"/>
    <n v="0"/>
    <x v="0"/>
    <n v="92"/>
    <n v="0.92"/>
  </r>
  <r>
    <s v="FL250786"/>
    <s v="Marc Ortiz"/>
    <s v="Marc Ortiz"/>
    <s v="m"/>
    <s v="Male"/>
    <n v="35"/>
    <x v="8"/>
    <x v="6"/>
    <x v="1"/>
    <n v="15"/>
    <x v="0"/>
    <m/>
    <m/>
    <x v="5"/>
    <n v="3.7"/>
    <b v="0"/>
    <x v="0"/>
    <n v="0.66"/>
    <n v="0.66"/>
  </r>
  <r>
    <s v="FL250787"/>
    <s v="Michelle Gregory"/>
    <s v="Michelle Gregory"/>
    <s v="FEMALE"/>
    <s v="Female"/>
    <n v="25"/>
    <x v="11"/>
    <x v="9"/>
    <x v="9"/>
    <n v="3"/>
    <x v="2"/>
    <n v="50"/>
    <s v="50"/>
    <x v="1"/>
    <n v="3.2"/>
    <b v="1"/>
    <x v="1"/>
    <n v="0.74"/>
    <n v="0.74"/>
  </r>
  <r>
    <s v="FL250788"/>
    <s v="Melanie Gay"/>
    <s v="Melanie Gay"/>
    <s v="FEMALE"/>
    <s v="Female"/>
    <n v="23"/>
    <x v="0"/>
    <x v="0"/>
    <x v="6"/>
    <n v="1"/>
    <x v="2"/>
    <n v="30"/>
    <n v="30"/>
    <x v="3"/>
    <n v="5"/>
    <s v="N"/>
    <x v="0"/>
    <n v="0.97"/>
    <n v="0.97"/>
  </r>
  <r>
    <s v="FL250789"/>
    <s v="Brittany Lambert"/>
    <s v="Brittany Lambert"/>
    <s v="f"/>
    <s v="Female"/>
    <n v="56"/>
    <x v="16"/>
    <x v="13"/>
    <x v="2"/>
    <n v="13"/>
    <x v="0"/>
    <n v="30"/>
    <n v="30"/>
    <x v="3"/>
    <n v="0"/>
    <m/>
    <x v="2"/>
    <n v="77"/>
    <n v="0.77"/>
  </r>
  <r>
    <s v="FL250790"/>
    <s v="Mary Hernandez"/>
    <s v="Mary Hernandez"/>
    <s v="FEMALE"/>
    <s v="Female"/>
    <n v="31"/>
    <x v="19"/>
    <x v="6"/>
    <x v="6"/>
    <n v="6"/>
    <x v="3"/>
    <m/>
    <m/>
    <x v="5"/>
    <n v="3.5"/>
    <s v="no"/>
    <x v="0"/>
    <n v="0.86"/>
    <n v="0.86"/>
  </r>
  <r>
    <s v="FL250791"/>
    <s v="Jonathan Jones"/>
    <s v="Jonathan Jones"/>
    <s v="m"/>
    <s v="Male"/>
    <n v="24"/>
    <x v="5"/>
    <x v="1"/>
    <x v="7"/>
    <n v="4"/>
    <x v="2"/>
    <n v="50"/>
    <n v="50"/>
    <x v="1"/>
    <n v="3.1"/>
    <b v="0"/>
    <x v="0"/>
    <n v="0.95"/>
    <n v="0.95"/>
  </r>
  <r>
    <s v="FL250792"/>
    <s v="Gina Williams"/>
    <s v="Gina Williams"/>
    <s v="FEMALE"/>
    <s v="Female"/>
    <n v="35"/>
    <x v="11"/>
    <x v="9"/>
    <x v="7"/>
    <n v="7"/>
    <x v="3"/>
    <m/>
    <m/>
    <x v="5"/>
    <n v="3.9"/>
    <n v="0"/>
    <x v="0"/>
    <n v="0.72"/>
    <n v="0.72"/>
  </r>
  <r>
    <s v="FL250793"/>
    <s v="Kelly Lawson"/>
    <s v="Kelly Lawson"/>
    <s v="FEMALE"/>
    <s v="Female"/>
    <n v="20"/>
    <x v="20"/>
    <x v="6"/>
    <x v="4"/>
    <n v="1"/>
    <x v="2"/>
    <m/>
    <m/>
    <x v="5"/>
    <n v="3.5"/>
    <n v="0"/>
    <x v="0"/>
    <n v="0.71"/>
    <n v="0.71"/>
  </r>
  <r>
    <s v="FL250794"/>
    <s v="Keith Smith"/>
    <s v="Keith Smith"/>
    <s v="male"/>
    <s v="Male"/>
    <n v="26"/>
    <x v="1"/>
    <x v="1"/>
    <x v="5"/>
    <n v="5"/>
    <x v="2"/>
    <n v="100"/>
    <s v="100"/>
    <x v="0"/>
    <n v="2.5"/>
    <b v="1"/>
    <x v="1"/>
    <n v="0.93"/>
    <n v="0.93"/>
  </r>
  <r>
    <s v="FL250795"/>
    <s v="Christopher Hunter"/>
    <s v="Christopher Hunter"/>
    <s v="m"/>
    <s v="Male"/>
    <n v="54"/>
    <x v="7"/>
    <x v="1"/>
    <x v="8"/>
    <n v="29"/>
    <x v="1"/>
    <s v="USD 40"/>
    <s v="40"/>
    <x v="2"/>
    <n v="3.1"/>
    <n v="1"/>
    <x v="1"/>
    <m/>
    <m/>
  </r>
  <r>
    <s v="FL250796"/>
    <s v="Dwayne Parks"/>
    <s v="Dwayne Parks"/>
    <s v="m"/>
    <s v="Male"/>
    <n v="53"/>
    <x v="13"/>
    <x v="11"/>
    <x v="7"/>
    <n v="12"/>
    <x v="0"/>
    <n v="100"/>
    <n v="100"/>
    <x v="0"/>
    <n v="4.7"/>
    <n v="1"/>
    <x v="1"/>
    <n v="0.87"/>
    <n v="0.87"/>
  </r>
  <r>
    <s v="FL250797"/>
    <s v="Mary Hall"/>
    <s v="Mary Hall"/>
    <s v="FEMALE"/>
    <s v="Female"/>
    <n v="33"/>
    <x v="14"/>
    <x v="1"/>
    <x v="8"/>
    <n v="4"/>
    <x v="2"/>
    <m/>
    <m/>
    <x v="5"/>
    <n v="1.9"/>
    <b v="0"/>
    <x v="0"/>
    <n v="73"/>
    <n v="0.73"/>
  </r>
  <r>
    <s v="FL250798"/>
    <s v="Jake Gilmore"/>
    <s v="Jake Gilmore"/>
    <s v="m"/>
    <s v="Male"/>
    <n v="43"/>
    <x v="3"/>
    <x v="3"/>
    <x v="3"/>
    <n v="12"/>
    <x v="0"/>
    <m/>
    <m/>
    <x v="5"/>
    <n v="1.6"/>
    <n v="1"/>
    <x v="1"/>
    <n v="0.74"/>
    <n v="0.74"/>
  </r>
  <r>
    <s v="FL250799"/>
    <s v="Mark Lopez"/>
    <s v="Mark Lopez"/>
    <s v="m"/>
    <s v="Male"/>
    <n v="37"/>
    <x v="14"/>
    <x v="1"/>
    <x v="8"/>
    <n v="3"/>
    <x v="2"/>
    <n v="20"/>
    <n v="20"/>
    <x v="6"/>
    <n v="2.5"/>
    <s v="N"/>
    <x v="0"/>
    <n v="0.62"/>
    <n v="0.62"/>
  </r>
  <r>
    <s v="FL250800"/>
    <s v="Dana Rice"/>
    <s v="Dana Rice"/>
    <s v="FEMALE"/>
    <s v="Female"/>
    <n v="58"/>
    <x v="15"/>
    <x v="12"/>
    <x v="5"/>
    <n v="15"/>
    <x v="0"/>
    <n v="20"/>
    <n v="20"/>
    <x v="6"/>
    <n v="3.5"/>
    <m/>
    <x v="2"/>
    <n v="0.98"/>
    <n v="0.98"/>
  </r>
  <r>
    <s v="FL250801"/>
    <s v="Beth Young"/>
    <s v="Beth Young"/>
    <s v="FEMALE"/>
    <s v="Female"/>
    <n v="39"/>
    <x v="20"/>
    <x v="6"/>
    <x v="1"/>
    <n v="15"/>
    <x v="0"/>
    <n v="50"/>
    <n v="50"/>
    <x v="1"/>
    <m/>
    <n v="0"/>
    <x v="0"/>
    <n v="0.8"/>
    <n v="0.8"/>
  </r>
  <r>
    <s v="FL250802"/>
    <s v="Ryan Powell"/>
    <s v="Ryan Powell"/>
    <s v="male"/>
    <s v="Male"/>
    <n v="43"/>
    <x v="6"/>
    <x v="5"/>
    <x v="2"/>
    <n v="13"/>
    <x v="0"/>
    <s v="USD 20"/>
    <s v="20"/>
    <x v="6"/>
    <n v="1.2"/>
    <s v="Y"/>
    <x v="1"/>
    <n v="69"/>
    <n v="0.69"/>
  </r>
  <r>
    <s v="FL250803"/>
    <s v="Amanda Fowler"/>
    <s v="Amanda Fowler"/>
    <s v="FEMALE"/>
    <s v="Female"/>
    <n v="40"/>
    <x v="20"/>
    <x v="6"/>
    <x v="0"/>
    <n v="20"/>
    <x v="4"/>
    <s v="USD 30"/>
    <s v="30"/>
    <x v="3"/>
    <m/>
    <b v="0"/>
    <x v="0"/>
    <n v="90"/>
    <n v="0.9"/>
  </r>
  <r>
    <s v="FL250804"/>
    <s v="Lindsay Rivera"/>
    <s v="Lindsay Rivera"/>
    <s v="f"/>
    <s v="Female"/>
    <n v="51"/>
    <x v="7"/>
    <x v="1"/>
    <x v="9"/>
    <n v="30"/>
    <x v="1"/>
    <n v="75"/>
    <n v="75"/>
    <x v="4"/>
    <m/>
    <b v="1"/>
    <x v="1"/>
    <n v="0.74"/>
    <n v="0.74"/>
  </r>
  <r>
    <s v="FL250805"/>
    <s v="Mark Ward"/>
    <s v="Mark Ward"/>
    <s v="male"/>
    <s v="Male"/>
    <n v="23"/>
    <x v="2"/>
    <x v="2"/>
    <x v="4"/>
    <n v="4"/>
    <x v="2"/>
    <n v="50"/>
    <n v="50"/>
    <x v="1"/>
    <n v="4.5"/>
    <s v="N"/>
    <x v="0"/>
    <n v="0.98"/>
    <n v="0.98"/>
  </r>
  <r>
    <s v="FL250806"/>
    <s v="Amanda Smith"/>
    <s v="Amanda Smith"/>
    <s v="f"/>
    <s v="Female"/>
    <n v="31"/>
    <x v="4"/>
    <x v="4"/>
    <x v="2"/>
    <m/>
    <x v="2"/>
    <s v="USD 20"/>
    <s v="20"/>
    <x v="6"/>
    <m/>
    <s v="Y"/>
    <x v="1"/>
    <n v="0.84"/>
    <n v="0.84"/>
  </r>
  <r>
    <s v="FL250807"/>
    <s v="Emily Brown"/>
    <s v="Emily Brown"/>
    <s v="FEMALE"/>
    <s v="Female"/>
    <n v="44"/>
    <x v="13"/>
    <x v="11"/>
    <x v="3"/>
    <n v="3"/>
    <x v="2"/>
    <n v="20"/>
    <s v="20"/>
    <x v="6"/>
    <n v="5"/>
    <s v="yes"/>
    <x v="1"/>
    <n v="0.75"/>
    <n v="0.75"/>
  </r>
  <r>
    <s v="FL250808"/>
    <s v="Dwayne Cardenas"/>
    <s v="Dwayne Cardenas"/>
    <s v="male"/>
    <s v="Male"/>
    <n v="56"/>
    <x v="2"/>
    <x v="2"/>
    <x v="1"/>
    <n v="23"/>
    <x v="1"/>
    <n v="75"/>
    <n v="75"/>
    <x v="4"/>
    <n v="3.9"/>
    <n v="1"/>
    <x v="1"/>
    <m/>
    <m/>
  </r>
  <r>
    <s v="FL250809"/>
    <s v="Dr. Rhonda Hernandez"/>
    <s v="Rhonda Hernandez"/>
    <s v="FEMALE"/>
    <s v="Female"/>
    <n v="48"/>
    <x v="1"/>
    <x v="1"/>
    <x v="7"/>
    <n v="5"/>
    <x v="2"/>
    <n v="100"/>
    <s v="100"/>
    <x v="0"/>
    <n v="1.8"/>
    <b v="1"/>
    <x v="1"/>
    <n v="0.97"/>
    <n v="0.97"/>
  </r>
  <r>
    <s v="FL250810"/>
    <s v="Melody Barker"/>
    <s v="Melody Barker"/>
    <s v="f"/>
    <s v="Female"/>
    <n v="46"/>
    <x v="13"/>
    <x v="11"/>
    <x v="3"/>
    <n v="28"/>
    <x v="1"/>
    <n v="30"/>
    <n v="30"/>
    <x v="3"/>
    <n v="4.2"/>
    <b v="1"/>
    <x v="1"/>
    <m/>
    <m/>
  </r>
  <r>
    <s v="FL250811"/>
    <s v="Russell Carpenter"/>
    <s v="Russell Carpenter"/>
    <s v="m"/>
    <s v="Male"/>
    <n v="21"/>
    <x v="16"/>
    <x v="13"/>
    <x v="4"/>
    <n v="0"/>
    <x v="2"/>
    <n v="20"/>
    <n v="20"/>
    <x v="6"/>
    <n v="2.6"/>
    <s v="no"/>
    <x v="0"/>
    <n v="0.64"/>
    <n v="0.64"/>
  </r>
  <r>
    <s v="FL250812"/>
    <s v="Richard Hill"/>
    <s v="Richard Hill"/>
    <s v="m"/>
    <s v="Male"/>
    <n v="52"/>
    <x v="13"/>
    <x v="11"/>
    <x v="5"/>
    <n v="30"/>
    <x v="1"/>
    <n v="30"/>
    <n v="30"/>
    <x v="3"/>
    <n v="2"/>
    <n v="1"/>
    <x v="1"/>
    <n v="0.68"/>
    <n v="0.68"/>
  </r>
  <r>
    <s v="FL250813"/>
    <s v="Lindsay Potts"/>
    <s v="Lindsay Potts"/>
    <s v="f"/>
    <s v="Female"/>
    <n v="39"/>
    <x v="13"/>
    <x v="11"/>
    <x v="2"/>
    <n v="20"/>
    <x v="4"/>
    <n v="75"/>
    <s v="75"/>
    <x v="4"/>
    <n v="2.7"/>
    <n v="1"/>
    <x v="1"/>
    <n v="0.67"/>
    <n v="0.67"/>
  </r>
  <r>
    <s v="FL250814"/>
    <s v="Michelle Campbell"/>
    <s v="Michelle Campbell"/>
    <s v="f"/>
    <s v="Female"/>
    <n v="31"/>
    <x v="1"/>
    <x v="1"/>
    <x v="1"/>
    <n v="0"/>
    <x v="2"/>
    <n v="30"/>
    <n v="30"/>
    <x v="3"/>
    <n v="2.2999999999999998"/>
    <s v="no"/>
    <x v="0"/>
    <n v="0.79"/>
    <n v="0.79"/>
  </r>
  <r>
    <s v="FL250815"/>
    <s v="Alan Williams"/>
    <s v="Alan Williams"/>
    <s v="m"/>
    <s v="Male"/>
    <n v="22"/>
    <x v="12"/>
    <x v="10"/>
    <x v="6"/>
    <n v="4"/>
    <x v="2"/>
    <n v="40"/>
    <s v="40"/>
    <x v="2"/>
    <n v="3.8"/>
    <b v="1"/>
    <x v="1"/>
    <n v="1"/>
    <n v="1"/>
  </r>
  <r>
    <s v="FL250816"/>
    <s v="Robin Hinton"/>
    <s v="Robin Hinton"/>
    <s v="f"/>
    <s v="Female"/>
    <n v="38"/>
    <x v="7"/>
    <x v="1"/>
    <x v="6"/>
    <n v="10"/>
    <x v="3"/>
    <n v="40"/>
    <n v="40"/>
    <x v="2"/>
    <m/>
    <s v="N"/>
    <x v="0"/>
    <n v="0.66"/>
    <n v="0.66"/>
  </r>
  <r>
    <s v="FL250817"/>
    <s v="Brian Holland"/>
    <s v="Brian Holland"/>
    <s v="male"/>
    <s v="Male"/>
    <n v="44"/>
    <x v="8"/>
    <x v="6"/>
    <x v="2"/>
    <n v="24"/>
    <x v="1"/>
    <s v="USD 75"/>
    <s v="75"/>
    <x v="4"/>
    <n v="4.5999999999999996"/>
    <s v="no"/>
    <x v="0"/>
    <n v="0.97"/>
    <n v="0.97"/>
  </r>
  <r>
    <s v="FL250818"/>
    <s v="Adam Stone"/>
    <s v="Adam Stone"/>
    <s v="m"/>
    <s v="Male"/>
    <n v="53"/>
    <x v="4"/>
    <x v="4"/>
    <x v="9"/>
    <n v="21"/>
    <x v="1"/>
    <n v="100"/>
    <n v="100"/>
    <x v="0"/>
    <n v="3.4"/>
    <n v="0"/>
    <x v="0"/>
    <n v="0.62"/>
    <n v="0.62"/>
  </r>
  <r>
    <s v="FL250819"/>
    <s v="Curtis Lambert"/>
    <s v="Curtis Lambert"/>
    <s v="male"/>
    <s v="Male"/>
    <n v="22"/>
    <x v="18"/>
    <x v="15"/>
    <x v="5"/>
    <n v="2"/>
    <x v="2"/>
    <s v="USD 20"/>
    <s v="20"/>
    <x v="6"/>
    <m/>
    <s v="no"/>
    <x v="0"/>
    <m/>
    <m/>
  </r>
  <r>
    <s v="FL250820"/>
    <s v="Alexandra Sims"/>
    <s v="Alexandra Sims"/>
    <s v="FEMALE"/>
    <s v="Female"/>
    <n v="40"/>
    <x v="10"/>
    <x v="8"/>
    <x v="0"/>
    <n v="14"/>
    <x v="0"/>
    <n v="75"/>
    <n v="75"/>
    <x v="4"/>
    <n v="0"/>
    <n v="1"/>
    <x v="1"/>
    <n v="0.79"/>
    <n v="0.79"/>
  </r>
  <r>
    <s v="FL250821"/>
    <s v="Brenda Spencer"/>
    <s v="Brenda Spencer"/>
    <s v="FEMALE"/>
    <s v="Female"/>
    <n v="49"/>
    <x v="18"/>
    <x v="15"/>
    <x v="1"/>
    <n v="15"/>
    <x v="0"/>
    <n v="40"/>
    <n v="40"/>
    <x v="2"/>
    <n v="3.9"/>
    <b v="0"/>
    <x v="0"/>
    <n v="0.86"/>
    <n v="0.86"/>
  </r>
  <r>
    <s v="FL250822"/>
    <s v="Joshua Bush"/>
    <s v="Joshua Bush"/>
    <s v="male"/>
    <s v="Male"/>
    <n v="30"/>
    <x v="1"/>
    <x v="1"/>
    <x v="6"/>
    <n v="11"/>
    <x v="0"/>
    <n v="30"/>
    <s v="30"/>
    <x v="3"/>
    <n v="4.2"/>
    <n v="0"/>
    <x v="0"/>
    <n v="0.65"/>
    <n v="0.65"/>
  </r>
  <r>
    <s v="FL250823"/>
    <s v="Erin Martin"/>
    <s v="Erin Martin"/>
    <s v="FEMALE"/>
    <s v="Female"/>
    <n v="37"/>
    <x v="9"/>
    <x v="7"/>
    <x v="4"/>
    <n v="6"/>
    <x v="3"/>
    <n v="20"/>
    <n v="20"/>
    <x v="6"/>
    <m/>
    <m/>
    <x v="2"/>
    <n v="0.99"/>
    <n v="0.99"/>
  </r>
  <r>
    <s v="FL250824"/>
    <s v="Alexander Hogan"/>
    <s v="Alexander Hogan"/>
    <s v="male"/>
    <s v="Male"/>
    <n v="21"/>
    <x v="16"/>
    <x v="13"/>
    <x v="2"/>
    <n v="2"/>
    <x v="2"/>
    <n v="100"/>
    <n v="100"/>
    <x v="0"/>
    <n v="3.6"/>
    <b v="0"/>
    <x v="0"/>
    <n v="85"/>
    <n v="0.85"/>
  </r>
  <r>
    <s v="FL250825"/>
    <s v="William Harris"/>
    <s v="William Harris"/>
    <s v="male"/>
    <s v="Male"/>
    <n v="20"/>
    <x v="12"/>
    <x v="10"/>
    <x v="4"/>
    <n v="1"/>
    <x v="2"/>
    <s v="USD 50"/>
    <s v="50"/>
    <x v="1"/>
    <m/>
    <s v="yes"/>
    <x v="1"/>
    <n v="0.81"/>
    <n v="0.81"/>
  </r>
  <r>
    <s v="FL250826"/>
    <s v="Michael Mcmahon"/>
    <s v="Michael Mcmahon"/>
    <s v="male"/>
    <s v="Male"/>
    <n v="20"/>
    <x v="18"/>
    <x v="15"/>
    <x v="5"/>
    <n v="2"/>
    <x v="2"/>
    <n v="40"/>
    <s v="40"/>
    <x v="2"/>
    <n v="2.1"/>
    <s v="N"/>
    <x v="0"/>
    <n v="0.64"/>
    <n v="0.64"/>
  </r>
  <r>
    <s v="FL250827"/>
    <s v="Michael Watson"/>
    <s v="Michael Watson"/>
    <s v="male"/>
    <s v="Male"/>
    <n v="20"/>
    <x v="8"/>
    <x v="6"/>
    <x v="9"/>
    <n v="2"/>
    <x v="2"/>
    <n v="20"/>
    <n v="20"/>
    <x v="6"/>
    <n v="3.9"/>
    <b v="0"/>
    <x v="0"/>
    <n v="0.84"/>
    <n v="0.84"/>
  </r>
  <r>
    <s v="FL250828"/>
    <s v="Lori Perez"/>
    <s v="Lori Perez"/>
    <s v="f"/>
    <s v="Female"/>
    <n v="26"/>
    <x v="13"/>
    <x v="11"/>
    <x v="9"/>
    <n v="2"/>
    <x v="2"/>
    <n v="40"/>
    <n v="40"/>
    <x v="2"/>
    <n v="0"/>
    <m/>
    <x v="2"/>
    <n v="0.66"/>
    <n v="0.66"/>
  </r>
  <r>
    <s v="FL250829"/>
    <s v="Lindsay Le"/>
    <s v="Lindsay Le"/>
    <s v="FEMALE"/>
    <s v="Female"/>
    <n v="50"/>
    <x v="12"/>
    <x v="10"/>
    <x v="3"/>
    <n v="12"/>
    <x v="0"/>
    <n v="75"/>
    <s v="75"/>
    <x v="4"/>
    <n v="0"/>
    <b v="0"/>
    <x v="0"/>
    <n v="75"/>
    <n v="0.75"/>
  </r>
  <r>
    <s v="FL250830"/>
    <s v="Scott Long"/>
    <s v="Scott Long"/>
    <s v="male"/>
    <s v="Male"/>
    <n v="50"/>
    <x v="20"/>
    <x v="6"/>
    <x v="4"/>
    <n v="28"/>
    <x v="1"/>
    <n v="30"/>
    <n v="30"/>
    <x v="3"/>
    <n v="1.8"/>
    <m/>
    <x v="2"/>
    <m/>
    <m/>
  </r>
  <r>
    <s v="FL250831"/>
    <s v="Diana Ferguson"/>
    <s v="Diana Ferguson"/>
    <s v="FEMALE"/>
    <s v="Female"/>
    <n v="54"/>
    <x v="4"/>
    <x v="4"/>
    <x v="4"/>
    <n v="4"/>
    <x v="2"/>
    <n v="20"/>
    <n v="20"/>
    <x v="6"/>
    <n v="1.1000000000000001"/>
    <n v="1"/>
    <x v="1"/>
    <n v="0.63"/>
    <n v="0.63"/>
  </r>
  <r>
    <s v="FL250832"/>
    <s v="Joseph Miller"/>
    <s v="Joseph Miller"/>
    <s v="male"/>
    <s v="Male"/>
    <n v="54"/>
    <x v="20"/>
    <x v="6"/>
    <x v="0"/>
    <n v="3"/>
    <x v="2"/>
    <n v="20"/>
    <n v="20"/>
    <x v="6"/>
    <n v="1.6"/>
    <s v="Y"/>
    <x v="1"/>
    <n v="0.7"/>
    <n v="0.7"/>
  </r>
  <r>
    <s v="FL250833"/>
    <s v="Julia Reid"/>
    <s v="Julia Reid"/>
    <s v="FEMALE"/>
    <s v="Female"/>
    <n v="34"/>
    <x v="16"/>
    <x v="13"/>
    <x v="9"/>
    <n v="4"/>
    <x v="2"/>
    <n v="30"/>
    <s v="30"/>
    <x v="3"/>
    <n v="3.1"/>
    <m/>
    <x v="2"/>
    <n v="0.9"/>
    <n v="0.9"/>
  </r>
  <r>
    <s v="FL250834"/>
    <s v="Samantha Matthews"/>
    <s v="Samantha Matthews"/>
    <s v="FEMALE"/>
    <s v="Female"/>
    <n v="20"/>
    <x v="0"/>
    <x v="0"/>
    <x v="8"/>
    <n v="1"/>
    <x v="2"/>
    <n v="50"/>
    <n v="50"/>
    <x v="1"/>
    <n v="3.4"/>
    <n v="1"/>
    <x v="1"/>
    <n v="79"/>
    <n v="0.79"/>
  </r>
  <r>
    <s v="FL250835"/>
    <s v="Brian Bailey"/>
    <s v="Brian Bailey"/>
    <s v="male"/>
    <s v="Male"/>
    <n v="29"/>
    <x v="2"/>
    <x v="2"/>
    <x v="4"/>
    <n v="8"/>
    <x v="3"/>
    <n v="40"/>
    <n v="40"/>
    <x v="2"/>
    <n v="3.1"/>
    <s v="N"/>
    <x v="0"/>
    <n v="0.6"/>
    <n v="0.6"/>
  </r>
  <r>
    <s v="FL250836"/>
    <s v="Toni Hinton"/>
    <s v="Toni Hinton"/>
    <s v="FEMALE"/>
    <s v="Female"/>
    <n v="57"/>
    <x v="7"/>
    <x v="1"/>
    <x v="8"/>
    <n v="11"/>
    <x v="0"/>
    <s v="USD 75"/>
    <s v="75"/>
    <x v="4"/>
    <n v="2.2999999999999998"/>
    <n v="0"/>
    <x v="0"/>
    <m/>
    <m/>
  </r>
  <r>
    <s v="FL250837"/>
    <s v="Robin Ortiz"/>
    <s v="Robin Ortiz"/>
    <s v="f"/>
    <s v="Female"/>
    <n v="36"/>
    <x v="3"/>
    <x v="3"/>
    <x v="4"/>
    <n v="8"/>
    <x v="3"/>
    <s v="USD 40"/>
    <s v="40"/>
    <x v="2"/>
    <m/>
    <s v="N"/>
    <x v="0"/>
    <n v="0.8"/>
    <n v="0.8"/>
  </r>
  <r>
    <s v="FL250838"/>
    <s v="Adam Griffith"/>
    <s v="Adam Griffith"/>
    <s v="male"/>
    <s v="Male"/>
    <n v="51"/>
    <x v="12"/>
    <x v="10"/>
    <x v="3"/>
    <n v="32"/>
    <x v="1"/>
    <n v="50"/>
    <s v="50"/>
    <x v="1"/>
    <n v="3.2"/>
    <n v="0"/>
    <x v="0"/>
    <n v="88"/>
    <n v="0.88"/>
  </r>
  <r>
    <s v="FL250839"/>
    <s v="Daniel Roberson"/>
    <s v="Daniel Roberson"/>
    <s v="m"/>
    <s v="Male"/>
    <n v="44"/>
    <x v="10"/>
    <x v="8"/>
    <x v="6"/>
    <n v="4"/>
    <x v="2"/>
    <s v="USD 30"/>
    <s v="30"/>
    <x v="3"/>
    <n v="0"/>
    <s v="N"/>
    <x v="0"/>
    <n v="0.8"/>
    <n v="0.8"/>
  </r>
  <r>
    <s v="FL250840"/>
    <s v="Dale Haynes"/>
    <s v="Dale Haynes"/>
    <s v="male"/>
    <s v="Male"/>
    <n v="58"/>
    <x v="20"/>
    <x v="6"/>
    <x v="7"/>
    <n v="33"/>
    <x v="1"/>
    <n v="30"/>
    <n v="30"/>
    <x v="3"/>
    <n v="3.3"/>
    <s v="Y"/>
    <x v="1"/>
    <n v="0.71"/>
    <n v="0.71"/>
  </r>
  <r>
    <s v="FL250841"/>
    <s v="Emily Scott"/>
    <s v="Emily Scott"/>
    <s v="f"/>
    <s v="Female"/>
    <n v="38"/>
    <x v="17"/>
    <x v="14"/>
    <x v="1"/>
    <n v="14"/>
    <x v="0"/>
    <m/>
    <m/>
    <x v="5"/>
    <n v="1.1000000000000001"/>
    <n v="1"/>
    <x v="1"/>
    <n v="0.76"/>
    <n v="0.76"/>
  </r>
  <r>
    <s v="FL250842"/>
    <s v="David Brown"/>
    <s v="David Brown"/>
    <s v="m"/>
    <s v="Male"/>
    <n v="24"/>
    <x v="5"/>
    <x v="1"/>
    <x v="6"/>
    <n v="6"/>
    <x v="3"/>
    <s v="USD 30"/>
    <s v="30"/>
    <x v="3"/>
    <n v="4.5999999999999996"/>
    <n v="1"/>
    <x v="1"/>
    <n v="0.93"/>
    <n v="0.93"/>
  </r>
  <r>
    <s v="FL250843"/>
    <s v="Stephanie Guzman"/>
    <s v="Stephanie Guzman"/>
    <s v="f"/>
    <s v="Female"/>
    <n v="30"/>
    <x v="6"/>
    <x v="5"/>
    <x v="0"/>
    <n v="5"/>
    <x v="2"/>
    <s v="USD 30"/>
    <s v="30"/>
    <x v="3"/>
    <m/>
    <n v="0"/>
    <x v="0"/>
    <m/>
    <m/>
  </r>
  <r>
    <s v="FL250844"/>
    <s v="Maxwell Johnson"/>
    <s v="Maxwell Johnson"/>
    <s v="male"/>
    <s v="Male"/>
    <n v="25"/>
    <x v="4"/>
    <x v="4"/>
    <x v="7"/>
    <n v="3"/>
    <x v="2"/>
    <n v="75"/>
    <n v="75"/>
    <x v="4"/>
    <m/>
    <n v="0"/>
    <x v="0"/>
    <n v="0.83"/>
    <n v="0.83"/>
  </r>
  <r>
    <s v="FL250845"/>
    <s v="Reginald Stephens"/>
    <s v="Reginald Stephens"/>
    <s v="m"/>
    <s v="Male"/>
    <n v="54"/>
    <x v="4"/>
    <x v="4"/>
    <x v="1"/>
    <n v="17"/>
    <x v="4"/>
    <n v="100"/>
    <s v="100"/>
    <x v="0"/>
    <n v="0"/>
    <n v="0"/>
    <x v="0"/>
    <n v="0.71"/>
    <n v="0.71"/>
  </r>
  <r>
    <s v="FL250846"/>
    <s v="Justin Jones"/>
    <s v="Justin Jones"/>
    <s v="male"/>
    <s v="Male"/>
    <n v="54"/>
    <x v="0"/>
    <x v="0"/>
    <x v="7"/>
    <n v="9"/>
    <x v="3"/>
    <s v="USD 20"/>
    <s v="20"/>
    <x v="6"/>
    <n v="0"/>
    <s v="yes"/>
    <x v="1"/>
    <n v="0.96"/>
    <n v="0.96"/>
  </r>
  <r>
    <s v="FL250847"/>
    <s v="Kristine Garcia"/>
    <s v="Kristine Garcia"/>
    <s v="f"/>
    <s v="Female"/>
    <n v="53"/>
    <x v="15"/>
    <x v="12"/>
    <x v="2"/>
    <n v="16"/>
    <x v="4"/>
    <n v="40"/>
    <n v="40"/>
    <x v="2"/>
    <n v="0"/>
    <s v="no"/>
    <x v="0"/>
    <m/>
    <m/>
  </r>
  <r>
    <s v="FL250848"/>
    <s v="John Nguyen"/>
    <s v="John Nguyen"/>
    <s v="male"/>
    <s v="Male"/>
    <n v="22"/>
    <x v="13"/>
    <x v="11"/>
    <x v="4"/>
    <n v="3"/>
    <x v="2"/>
    <n v="75"/>
    <n v="75"/>
    <x v="4"/>
    <n v="3.4"/>
    <s v="Y"/>
    <x v="1"/>
    <n v="0.65"/>
    <n v="0.65"/>
  </r>
  <r>
    <s v="FL250849"/>
    <s v="Anna Fleming"/>
    <s v="Anna Fleming"/>
    <s v="FEMALE"/>
    <s v="Female"/>
    <n v="23"/>
    <x v="19"/>
    <x v="6"/>
    <x v="5"/>
    <n v="2"/>
    <x v="2"/>
    <s v="USD 20"/>
    <s v="20"/>
    <x v="6"/>
    <n v="1.3"/>
    <s v="N"/>
    <x v="0"/>
    <m/>
    <m/>
  </r>
  <r>
    <s v="FL250850"/>
    <s v="Linda Williamson"/>
    <s v="Linda Williamson"/>
    <s v="FEMALE"/>
    <s v="Female"/>
    <n v="47"/>
    <x v="15"/>
    <x v="12"/>
    <x v="7"/>
    <n v="16"/>
    <x v="4"/>
    <n v="50"/>
    <n v="50"/>
    <x v="1"/>
    <n v="1.9"/>
    <n v="0"/>
    <x v="0"/>
    <n v="0.71"/>
    <n v="0.71"/>
  </r>
  <r>
    <s v="FL250851"/>
    <s v="Roy Wilson"/>
    <s v="Roy Wilson"/>
    <s v="male"/>
    <s v="Male"/>
    <n v="24"/>
    <x v="15"/>
    <x v="12"/>
    <x v="3"/>
    <n v="6"/>
    <x v="3"/>
    <n v="50"/>
    <n v="50"/>
    <x v="1"/>
    <n v="1.4"/>
    <s v="Y"/>
    <x v="1"/>
    <n v="63"/>
    <n v="0.63"/>
  </r>
  <r>
    <s v="FL250852"/>
    <s v="Jennifer Pierce"/>
    <s v="Jennifer Pierce"/>
    <s v="f"/>
    <s v="Female"/>
    <n v="57"/>
    <x v="10"/>
    <x v="8"/>
    <x v="6"/>
    <n v="10"/>
    <x v="3"/>
    <n v="100"/>
    <s v="100"/>
    <x v="0"/>
    <n v="4.3"/>
    <b v="0"/>
    <x v="0"/>
    <m/>
    <m/>
  </r>
  <r>
    <s v="FL250853"/>
    <s v="Jason Johnson"/>
    <s v="Jason Johnson"/>
    <s v="male"/>
    <s v="Male"/>
    <n v="48"/>
    <x v="20"/>
    <x v="6"/>
    <x v="2"/>
    <n v="16"/>
    <x v="4"/>
    <n v="30"/>
    <s v="30"/>
    <x v="3"/>
    <m/>
    <s v="no"/>
    <x v="0"/>
    <n v="0.97"/>
    <n v="0.97"/>
  </r>
  <r>
    <s v="FL250854"/>
    <s v="Jasmine Lane"/>
    <s v="Jasmine Lane"/>
    <s v="FEMALE"/>
    <s v="Female"/>
    <n v="21"/>
    <x v="6"/>
    <x v="5"/>
    <x v="6"/>
    <n v="0"/>
    <x v="2"/>
    <n v="100"/>
    <s v="100"/>
    <x v="0"/>
    <n v="4.3"/>
    <n v="0"/>
    <x v="0"/>
    <m/>
    <m/>
  </r>
  <r>
    <s v="FL250855"/>
    <s v="Evan Soto"/>
    <s v="Evan Soto"/>
    <s v="m"/>
    <s v="Male"/>
    <n v="33"/>
    <x v="9"/>
    <x v="7"/>
    <x v="4"/>
    <n v="13"/>
    <x v="0"/>
    <s v="USD 75"/>
    <s v="75"/>
    <x v="4"/>
    <n v="0"/>
    <b v="1"/>
    <x v="1"/>
    <m/>
    <m/>
  </r>
  <r>
    <s v="FL250856"/>
    <s v="Kevin Serrano"/>
    <s v="Kevin Serrano"/>
    <s v="male"/>
    <s v="Male"/>
    <n v="41"/>
    <x v="6"/>
    <x v="5"/>
    <x v="8"/>
    <n v="12"/>
    <x v="0"/>
    <m/>
    <m/>
    <x v="5"/>
    <n v="1.3"/>
    <n v="0"/>
    <x v="0"/>
    <n v="0.85"/>
    <n v="0.85"/>
  </r>
  <r>
    <s v="FL250857"/>
    <s v="Nathaniel Benson"/>
    <s v="Nathaniel Benson"/>
    <s v="male"/>
    <s v="Male"/>
    <n v="40"/>
    <x v="1"/>
    <x v="1"/>
    <x v="7"/>
    <n v="13"/>
    <x v="0"/>
    <s v="USD 50"/>
    <s v="50"/>
    <x v="1"/>
    <n v="2.9"/>
    <s v="no"/>
    <x v="0"/>
    <n v="0.82"/>
    <n v="0.82"/>
  </r>
  <r>
    <s v="FL250858"/>
    <s v="Deanna Miles"/>
    <s v="Deanna Miles"/>
    <s v="f"/>
    <s v="Female"/>
    <n v="40"/>
    <x v="19"/>
    <x v="6"/>
    <x v="2"/>
    <n v="22"/>
    <x v="1"/>
    <s v="USD 40"/>
    <s v="40"/>
    <x v="2"/>
    <n v="4.3"/>
    <n v="0"/>
    <x v="0"/>
    <n v="0.95"/>
    <n v="0.95"/>
  </r>
  <r>
    <s v="FL250859"/>
    <s v="Beverly Roy"/>
    <s v="Beverly Roy"/>
    <s v="FEMALE"/>
    <s v="Female"/>
    <n v="20"/>
    <x v="5"/>
    <x v="1"/>
    <x v="2"/>
    <n v="1"/>
    <x v="2"/>
    <m/>
    <m/>
    <x v="5"/>
    <n v="2.7"/>
    <n v="0"/>
    <x v="0"/>
    <n v="94"/>
    <n v="0.94"/>
  </r>
  <r>
    <s v="FL250860"/>
    <s v="Heather Saunders"/>
    <s v="Heather Saunders"/>
    <s v="f"/>
    <s v="Female"/>
    <n v="42"/>
    <x v="19"/>
    <x v="6"/>
    <x v="3"/>
    <m/>
    <x v="2"/>
    <n v="50"/>
    <s v="50"/>
    <x v="1"/>
    <n v="4.2"/>
    <m/>
    <x v="2"/>
    <n v="0.96"/>
    <n v="0.96"/>
  </r>
  <r>
    <s v="FL250861"/>
    <s v="Nicholas Guerrero"/>
    <s v="Nicholas Guerrero"/>
    <s v="m"/>
    <s v="Male"/>
    <n v="32"/>
    <x v="14"/>
    <x v="1"/>
    <x v="0"/>
    <n v="12"/>
    <x v="0"/>
    <n v="40"/>
    <n v="40"/>
    <x v="2"/>
    <n v="0"/>
    <s v="yes"/>
    <x v="1"/>
    <n v="0.63"/>
    <n v="0.63"/>
  </r>
  <r>
    <s v="FL250862"/>
    <s v="Christopher Johnson"/>
    <s v="Christopher Johnson"/>
    <s v="male"/>
    <s v="Male"/>
    <n v="60"/>
    <x v="9"/>
    <x v="7"/>
    <x v="4"/>
    <m/>
    <x v="2"/>
    <n v="20"/>
    <n v="20"/>
    <x v="6"/>
    <n v="2.2000000000000002"/>
    <b v="0"/>
    <x v="0"/>
    <n v="0.6"/>
    <n v="0.6"/>
  </r>
  <r>
    <s v="FL250863"/>
    <s v="Steven Flowers"/>
    <s v="Steven Flowers"/>
    <s v="m"/>
    <s v="Male"/>
    <n v="46"/>
    <x v="16"/>
    <x v="13"/>
    <x v="9"/>
    <n v="12"/>
    <x v="0"/>
    <n v="50"/>
    <n v="50"/>
    <x v="1"/>
    <n v="4.7"/>
    <s v="yes"/>
    <x v="1"/>
    <n v="0.77"/>
    <n v="0.77"/>
  </r>
  <r>
    <s v="FL250864"/>
    <s v="Marvin Woods III"/>
    <s v="Marvin Woods III"/>
    <s v="male"/>
    <s v="Male"/>
    <n v="29"/>
    <x v="18"/>
    <x v="15"/>
    <x v="8"/>
    <n v="0"/>
    <x v="2"/>
    <n v="30"/>
    <n v="30"/>
    <x v="3"/>
    <n v="0"/>
    <n v="0"/>
    <x v="0"/>
    <n v="0.63"/>
    <n v="0.63"/>
  </r>
  <r>
    <s v="FL250865"/>
    <s v="Michelle Cook"/>
    <s v="Michelle Cook"/>
    <s v="FEMALE"/>
    <s v="Female"/>
    <n v="39"/>
    <x v="11"/>
    <x v="9"/>
    <x v="1"/>
    <n v="18"/>
    <x v="4"/>
    <n v="20"/>
    <n v="20"/>
    <x v="6"/>
    <n v="2.5"/>
    <s v="yes"/>
    <x v="1"/>
    <n v="0.61"/>
    <n v="0.61"/>
  </r>
  <r>
    <s v="FL250866"/>
    <s v="Logan Zamora"/>
    <s v="Logan Zamora"/>
    <s v="male"/>
    <s v="Male"/>
    <n v="55"/>
    <x v="13"/>
    <x v="11"/>
    <x v="1"/>
    <n v="2"/>
    <x v="2"/>
    <n v="50"/>
    <s v="50"/>
    <x v="1"/>
    <n v="3.9"/>
    <s v="yes"/>
    <x v="1"/>
    <n v="0.88"/>
    <n v="0.88"/>
  </r>
  <r>
    <s v="FL250867"/>
    <s v="Casey Roberts"/>
    <s v="Casey Roberts"/>
    <s v="m"/>
    <s v="Male"/>
    <n v="55"/>
    <x v="6"/>
    <x v="5"/>
    <x v="7"/>
    <m/>
    <x v="2"/>
    <s v="USD 100"/>
    <s v="100"/>
    <x v="0"/>
    <n v="1.2"/>
    <n v="1"/>
    <x v="1"/>
    <n v="0.69"/>
    <n v="0.69"/>
  </r>
  <r>
    <s v="FL250868"/>
    <s v="Jerry Price"/>
    <s v="Jerry Price"/>
    <s v="male"/>
    <s v="Male"/>
    <n v="40"/>
    <x v="4"/>
    <x v="4"/>
    <x v="5"/>
    <n v="2"/>
    <x v="2"/>
    <n v="75"/>
    <n v="75"/>
    <x v="4"/>
    <n v="4.5"/>
    <s v="yes"/>
    <x v="1"/>
    <m/>
    <m/>
  </r>
  <r>
    <s v="FL250869"/>
    <s v="Kelly Ellis"/>
    <s v="Kelly Ellis"/>
    <s v="f"/>
    <s v="Female"/>
    <n v="56"/>
    <x v="18"/>
    <x v="15"/>
    <x v="6"/>
    <n v="35"/>
    <x v="1"/>
    <n v="40"/>
    <s v="40"/>
    <x v="2"/>
    <n v="2.7"/>
    <b v="1"/>
    <x v="1"/>
    <n v="0.82"/>
    <n v="0.82"/>
  </r>
  <r>
    <s v="FL250870"/>
    <s v="Caleb Guerra"/>
    <s v="Caleb Guerra"/>
    <s v="male"/>
    <s v="Male"/>
    <n v="57"/>
    <x v="19"/>
    <x v="6"/>
    <x v="1"/>
    <n v="21"/>
    <x v="1"/>
    <n v="75"/>
    <n v="75"/>
    <x v="4"/>
    <n v="2"/>
    <s v="N"/>
    <x v="0"/>
    <n v="0.96"/>
    <n v="0.96"/>
  </r>
  <r>
    <s v="FL250871"/>
    <s v="Samantha Norman"/>
    <s v="Samantha Norman"/>
    <s v="f"/>
    <s v="Female"/>
    <n v="56"/>
    <x v="13"/>
    <x v="11"/>
    <x v="8"/>
    <n v="3"/>
    <x v="2"/>
    <n v="40"/>
    <s v="40"/>
    <x v="2"/>
    <n v="1.7"/>
    <s v="N"/>
    <x v="0"/>
    <n v="0.71"/>
    <n v="0.71"/>
  </r>
  <r>
    <s v="FL250872"/>
    <s v="Sarah Clarke"/>
    <s v="Sarah Clarke"/>
    <s v="f"/>
    <s v="Female"/>
    <n v="49"/>
    <x v="2"/>
    <x v="2"/>
    <x v="1"/>
    <n v="24"/>
    <x v="1"/>
    <n v="75"/>
    <s v="75"/>
    <x v="4"/>
    <n v="3"/>
    <n v="1"/>
    <x v="1"/>
    <n v="0.77"/>
    <n v="0.77"/>
  </r>
  <r>
    <s v="FL250873"/>
    <s v="Aaron Blair"/>
    <s v="Aaron Blair"/>
    <s v="male"/>
    <s v="Male"/>
    <n v="26"/>
    <x v="20"/>
    <x v="6"/>
    <x v="0"/>
    <m/>
    <x v="2"/>
    <n v="75"/>
    <s v="75"/>
    <x v="4"/>
    <n v="2.1"/>
    <s v="yes"/>
    <x v="1"/>
    <m/>
    <m/>
  </r>
  <r>
    <s v="FL250874"/>
    <s v="Courtney Burton"/>
    <s v="Courtney Burton"/>
    <s v="FEMALE"/>
    <s v="Female"/>
    <n v="36"/>
    <x v="12"/>
    <x v="10"/>
    <x v="6"/>
    <n v="0"/>
    <x v="2"/>
    <n v="75"/>
    <n v="75"/>
    <x v="4"/>
    <n v="1.5"/>
    <m/>
    <x v="2"/>
    <n v="0.73"/>
    <n v="0.73"/>
  </r>
  <r>
    <s v="FL250875"/>
    <s v="Gerald Taylor"/>
    <s v="Gerald Taylor"/>
    <s v="m"/>
    <s v="Male"/>
    <n v="20"/>
    <x v="13"/>
    <x v="11"/>
    <x v="3"/>
    <n v="2"/>
    <x v="2"/>
    <s v="USD 30"/>
    <s v="30"/>
    <x v="3"/>
    <n v="1.7"/>
    <b v="1"/>
    <x v="1"/>
    <n v="0.6"/>
    <n v="0.6"/>
  </r>
  <r>
    <s v="FL250876"/>
    <s v="Mary Ward"/>
    <s v="Mary Ward"/>
    <s v="f"/>
    <s v="Female"/>
    <n v="40"/>
    <x v="20"/>
    <x v="6"/>
    <x v="4"/>
    <m/>
    <x v="2"/>
    <m/>
    <m/>
    <x v="5"/>
    <n v="1.2"/>
    <n v="1"/>
    <x v="1"/>
    <n v="0.67"/>
    <n v="0.67"/>
  </r>
  <r>
    <s v="FL250877"/>
    <s v="Mrs. Lisa Beard DVM"/>
    <s v="Lisa Beard DVM"/>
    <s v="FEMALE"/>
    <s v="Female"/>
    <n v="30"/>
    <x v="10"/>
    <x v="8"/>
    <x v="1"/>
    <n v="6"/>
    <x v="3"/>
    <n v="75"/>
    <n v="75"/>
    <x v="4"/>
    <n v="0"/>
    <b v="0"/>
    <x v="0"/>
    <n v="0.8"/>
    <n v="0.8"/>
  </r>
  <r>
    <s v="FL250878"/>
    <s v="Larry Wallace"/>
    <s v="Larry Wallace"/>
    <s v="male"/>
    <s v="Male"/>
    <n v="51"/>
    <x v="1"/>
    <x v="1"/>
    <x v="2"/>
    <n v="21"/>
    <x v="1"/>
    <n v="20"/>
    <n v="20"/>
    <x v="6"/>
    <m/>
    <s v="Y"/>
    <x v="1"/>
    <m/>
    <m/>
  </r>
  <r>
    <s v="FL250879"/>
    <s v="Jeremiah Thompson"/>
    <s v="Jeremiah Thompson"/>
    <s v="male"/>
    <s v="Male"/>
    <n v="46"/>
    <x v="5"/>
    <x v="1"/>
    <x v="6"/>
    <n v="24"/>
    <x v="1"/>
    <n v="40"/>
    <n v="40"/>
    <x v="2"/>
    <n v="3.3"/>
    <n v="1"/>
    <x v="1"/>
    <n v="0.87"/>
    <n v="0.87"/>
  </r>
  <r>
    <s v="FL250880"/>
    <s v="Mrs. Jessica Williams DVM"/>
    <s v="Jessica Williams DVM"/>
    <s v="FEMALE"/>
    <s v="Female"/>
    <n v="25"/>
    <x v="12"/>
    <x v="10"/>
    <x v="4"/>
    <n v="6"/>
    <x v="3"/>
    <n v="20"/>
    <n v="20"/>
    <x v="6"/>
    <n v="2.1"/>
    <s v="no"/>
    <x v="0"/>
    <m/>
    <m/>
  </r>
  <r>
    <s v="FL250881"/>
    <s v="Martin Moreno"/>
    <s v="Martin Moreno"/>
    <s v="male"/>
    <s v="Male"/>
    <n v="53"/>
    <x v="3"/>
    <x v="3"/>
    <x v="3"/>
    <n v="32"/>
    <x v="1"/>
    <n v="50"/>
    <n v="50"/>
    <x v="1"/>
    <m/>
    <n v="1"/>
    <x v="1"/>
    <m/>
    <m/>
  </r>
  <r>
    <s v="FL250882"/>
    <s v="Yolanda Proctor"/>
    <s v="Yolanda Proctor"/>
    <s v="FEMALE"/>
    <s v="Female"/>
    <n v="50"/>
    <x v="16"/>
    <x v="13"/>
    <x v="1"/>
    <n v="31"/>
    <x v="1"/>
    <s v="USD 100"/>
    <s v="100"/>
    <x v="0"/>
    <n v="2.9"/>
    <s v="Y"/>
    <x v="1"/>
    <n v="0.89"/>
    <n v="0.89"/>
  </r>
  <r>
    <s v="FL250883"/>
    <s v="Allen Turner"/>
    <s v="Allen Turner"/>
    <s v="male"/>
    <s v="Male"/>
    <n v="45"/>
    <x v="12"/>
    <x v="10"/>
    <x v="4"/>
    <m/>
    <x v="2"/>
    <s v="USD 20"/>
    <s v="20"/>
    <x v="6"/>
    <n v="3.3"/>
    <b v="1"/>
    <x v="1"/>
    <n v="0.93"/>
    <n v="0.93"/>
  </r>
  <r>
    <s v="FL250884"/>
    <s v="Beth Huff"/>
    <s v="Beth Huff"/>
    <s v="f"/>
    <s v="Female"/>
    <n v="48"/>
    <x v="14"/>
    <x v="1"/>
    <x v="7"/>
    <n v="24"/>
    <x v="1"/>
    <n v="100"/>
    <n v="100"/>
    <x v="0"/>
    <n v="4.8"/>
    <n v="1"/>
    <x v="1"/>
    <n v="0.84"/>
    <n v="0.84"/>
  </r>
  <r>
    <s v="FL250885"/>
    <s v="John Mckinney"/>
    <s v="John Mckinney"/>
    <s v="male"/>
    <s v="Male"/>
    <n v="30"/>
    <x v="4"/>
    <x v="4"/>
    <x v="8"/>
    <m/>
    <x v="2"/>
    <n v="100"/>
    <s v="100"/>
    <x v="0"/>
    <n v="4.5"/>
    <m/>
    <x v="2"/>
    <n v="0.78"/>
    <n v="0.78"/>
  </r>
  <r>
    <s v="FL250886"/>
    <s v="Sarah Ho"/>
    <s v="Sarah Ho"/>
    <s v="f"/>
    <s v="Female"/>
    <n v="33"/>
    <x v="3"/>
    <x v="3"/>
    <x v="6"/>
    <n v="6"/>
    <x v="3"/>
    <n v="50"/>
    <s v="50"/>
    <x v="1"/>
    <n v="3.1"/>
    <s v="no"/>
    <x v="0"/>
    <n v="0.9"/>
    <n v="0.9"/>
  </r>
  <r>
    <s v="FL250887"/>
    <s v="Lindsey Wang"/>
    <s v="Lindsey Wang"/>
    <s v="f"/>
    <s v="Female"/>
    <n v="50"/>
    <x v="7"/>
    <x v="1"/>
    <x v="8"/>
    <n v="11"/>
    <x v="0"/>
    <m/>
    <m/>
    <x v="5"/>
    <n v="4.9000000000000004"/>
    <n v="1"/>
    <x v="1"/>
    <n v="0.88"/>
    <n v="0.88"/>
  </r>
  <r>
    <s v="FL250888"/>
    <s v="Margaret Schwartz"/>
    <s v="Margaret Schwartz"/>
    <s v="FEMALE"/>
    <s v="Female"/>
    <n v="24"/>
    <x v="4"/>
    <x v="4"/>
    <x v="5"/>
    <m/>
    <x v="2"/>
    <n v="20"/>
    <s v="20"/>
    <x v="6"/>
    <n v="0"/>
    <n v="0"/>
    <x v="0"/>
    <n v="0.76"/>
    <n v="0.76"/>
  </r>
  <r>
    <s v="FL250889"/>
    <s v="Kyle Ray"/>
    <s v="Kyle Ray"/>
    <s v="male"/>
    <s v="Male"/>
    <n v="38"/>
    <x v="0"/>
    <x v="0"/>
    <x v="3"/>
    <n v="14"/>
    <x v="0"/>
    <n v="75"/>
    <n v="75"/>
    <x v="4"/>
    <n v="1.5"/>
    <s v="N"/>
    <x v="0"/>
    <n v="0.62"/>
    <n v="0.62"/>
  </r>
  <r>
    <s v="FL250890"/>
    <s v="Isaac Hebert"/>
    <s v="Isaac Hebert"/>
    <s v="male"/>
    <s v="Male"/>
    <n v="56"/>
    <x v="9"/>
    <x v="7"/>
    <x v="8"/>
    <n v="2"/>
    <x v="2"/>
    <n v="75"/>
    <s v="75"/>
    <x v="4"/>
    <n v="2.4"/>
    <s v="N"/>
    <x v="0"/>
    <m/>
    <m/>
  </r>
  <r>
    <s v="FL250891"/>
    <s v="Michele Jones"/>
    <s v="Michele Jones"/>
    <s v="f"/>
    <s v="Female"/>
    <n v="41"/>
    <x v="13"/>
    <x v="11"/>
    <x v="8"/>
    <n v="2"/>
    <x v="2"/>
    <s v="USD 100"/>
    <s v="100"/>
    <x v="0"/>
    <n v="4.5"/>
    <s v="N"/>
    <x v="0"/>
    <n v="75"/>
    <n v="0.75"/>
  </r>
  <r>
    <s v="FL250892"/>
    <s v="Austin Allen"/>
    <s v="Austin Allen"/>
    <s v="male"/>
    <s v="Male"/>
    <m/>
    <x v="0"/>
    <x v="0"/>
    <x v="6"/>
    <n v="11"/>
    <x v="0"/>
    <s v="USD 100"/>
    <s v="100"/>
    <x v="0"/>
    <n v="2.5"/>
    <s v="yes"/>
    <x v="1"/>
    <n v="80"/>
    <n v="0.8"/>
  </r>
  <r>
    <s v="FL250893"/>
    <s v="Haley Castro"/>
    <s v="Haley Castro"/>
    <s v="f"/>
    <s v="Female"/>
    <n v="42"/>
    <x v="2"/>
    <x v="2"/>
    <x v="2"/>
    <n v="13"/>
    <x v="0"/>
    <n v="30"/>
    <n v="30"/>
    <x v="3"/>
    <n v="3.3"/>
    <m/>
    <x v="2"/>
    <n v="0.63"/>
    <n v="0.63"/>
  </r>
  <r>
    <s v="FL250894"/>
    <s v="David Armstrong"/>
    <s v="David Armstrong"/>
    <s v="male"/>
    <s v="Male"/>
    <n v="26"/>
    <x v="10"/>
    <x v="8"/>
    <x v="0"/>
    <n v="7"/>
    <x v="3"/>
    <n v="75"/>
    <n v="75"/>
    <x v="4"/>
    <n v="3"/>
    <m/>
    <x v="2"/>
    <n v="0.84"/>
    <n v="0.84"/>
  </r>
  <r>
    <s v="FL250895"/>
    <s v="Wendy Mitchell"/>
    <s v="Wendy Mitchell"/>
    <s v="f"/>
    <s v="Female"/>
    <n v="44"/>
    <x v="14"/>
    <x v="1"/>
    <x v="7"/>
    <n v="25"/>
    <x v="1"/>
    <n v="75"/>
    <n v="75"/>
    <x v="4"/>
    <n v="2.7"/>
    <n v="1"/>
    <x v="1"/>
    <n v="78"/>
    <n v="0.78"/>
  </r>
  <r>
    <s v="FL250896"/>
    <s v="Anthony Hernandez"/>
    <s v="Anthony Hernandez"/>
    <s v="male"/>
    <s v="Male"/>
    <n v="46"/>
    <x v="14"/>
    <x v="1"/>
    <x v="2"/>
    <n v="20"/>
    <x v="4"/>
    <n v="20"/>
    <s v="20"/>
    <x v="6"/>
    <n v="1.2"/>
    <b v="0"/>
    <x v="0"/>
    <n v="0.74"/>
    <n v="0.74"/>
  </r>
  <r>
    <s v="FL250897"/>
    <s v="Erica Johnson"/>
    <s v="Erica Johnson"/>
    <s v="FEMALE"/>
    <s v="Female"/>
    <n v="36"/>
    <x v="5"/>
    <x v="1"/>
    <x v="6"/>
    <n v="8"/>
    <x v="3"/>
    <n v="50"/>
    <n v="50"/>
    <x v="1"/>
    <n v="4.3"/>
    <n v="0"/>
    <x v="0"/>
    <n v="0.9"/>
    <n v="0.9"/>
  </r>
  <r>
    <s v="FL250898"/>
    <s v="Randall Barrett"/>
    <s v="Randall Barrett"/>
    <s v="male"/>
    <s v="Male"/>
    <n v="26"/>
    <x v="3"/>
    <x v="3"/>
    <x v="4"/>
    <n v="6"/>
    <x v="3"/>
    <n v="40"/>
    <s v="40"/>
    <x v="2"/>
    <n v="1.3"/>
    <n v="0"/>
    <x v="0"/>
    <m/>
    <m/>
  </r>
  <r>
    <s v="FL250899"/>
    <s v="Nathan Huff"/>
    <s v="Nathan Huff"/>
    <s v="male"/>
    <s v="Male"/>
    <n v="21"/>
    <x v="2"/>
    <x v="2"/>
    <x v="6"/>
    <n v="3"/>
    <x v="2"/>
    <n v="50"/>
    <n v="50"/>
    <x v="1"/>
    <n v="4.5999999999999996"/>
    <s v="Y"/>
    <x v="1"/>
    <m/>
    <m/>
  </r>
  <r>
    <s v="FL250900"/>
    <s v="Robin Walsh"/>
    <s v="Robin Walsh"/>
    <s v="f"/>
    <s v="Female"/>
    <n v="39"/>
    <x v="4"/>
    <x v="4"/>
    <x v="6"/>
    <n v="18"/>
    <x v="4"/>
    <n v="50"/>
    <n v="50"/>
    <x v="1"/>
    <n v="2.1"/>
    <n v="0"/>
    <x v="0"/>
    <n v="75"/>
    <n v="0.75"/>
  </r>
  <r>
    <s v="FL250901"/>
    <s v="Yvonne Robinson"/>
    <s v="Yvonne Robinson"/>
    <s v="FEMALE"/>
    <s v="Female"/>
    <n v="37"/>
    <x v="5"/>
    <x v="1"/>
    <x v="0"/>
    <n v="18"/>
    <x v="4"/>
    <n v="40"/>
    <n v="40"/>
    <x v="2"/>
    <n v="4.5"/>
    <s v="no"/>
    <x v="0"/>
    <n v="0.72"/>
    <n v="0.72"/>
  </r>
  <r>
    <s v="FL250902"/>
    <s v="Kathleen Hendrix"/>
    <s v="Kathleen Hendrix"/>
    <s v="FEMALE"/>
    <s v="Female"/>
    <n v="47"/>
    <x v="13"/>
    <x v="11"/>
    <x v="6"/>
    <n v="3"/>
    <x v="2"/>
    <n v="40"/>
    <n v="40"/>
    <x v="2"/>
    <n v="4.4000000000000004"/>
    <s v="yes"/>
    <x v="1"/>
    <n v="0.92"/>
    <n v="0.92"/>
  </r>
  <r>
    <s v="FL250903"/>
    <s v="Jennifer Baker"/>
    <s v="Jennifer Baker"/>
    <s v="FEMALE"/>
    <s v="Female"/>
    <n v="53"/>
    <x v="13"/>
    <x v="11"/>
    <x v="2"/>
    <n v="32"/>
    <x v="1"/>
    <s v="USD 20"/>
    <s v="20"/>
    <x v="6"/>
    <n v="0"/>
    <s v="N"/>
    <x v="0"/>
    <m/>
    <m/>
  </r>
  <r>
    <s v="FL250904"/>
    <s v="Kim Martinez"/>
    <s v="Kim Martinez"/>
    <s v="FEMALE"/>
    <s v="Female"/>
    <n v="53"/>
    <x v="8"/>
    <x v="6"/>
    <x v="1"/>
    <n v="19"/>
    <x v="4"/>
    <s v="USD 20"/>
    <s v="20"/>
    <x v="6"/>
    <n v="1.3"/>
    <n v="0"/>
    <x v="0"/>
    <m/>
    <m/>
  </r>
  <r>
    <s v="FL250905"/>
    <s v="Andrew Little"/>
    <s v="Andrew Little"/>
    <s v="male"/>
    <s v="Male"/>
    <n v="21"/>
    <x v="10"/>
    <x v="8"/>
    <x v="5"/>
    <n v="2"/>
    <x v="2"/>
    <n v="50"/>
    <n v="50"/>
    <x v="1"/>
    <n v="2.6"/>
    <b v="0"/>
    <x v="0"/>
    <n v="0.86"/>
    <n v="0.86"/>
  </r>
  <r>
    <s v="FL250906"/>
    <s v="Kelly Shelton"/>
    <s v="Kelly Shelton"/>
    <s v="FEMALE"/>
    <s v="Female"/>
    <n v="35"/>
    <x v="7"/>
    <x v="1"/>
    <x v="0"/>
    <n v="0"/>
    <x v="2"/>
    <m/>
    <m/>
    <x v="5"/>
    <m/>
    <s v="Y"/>
    <x v="1"/>
    <n v="85"/>
    <n v="0.85"/>
  </r>
  <r>
    <s v="FL250907"/>
    <s v="Steven Duncan"/>
    <s v="Steven Duncan"/>
    <s v="male"/>
    <s v="Male"/>
    <n v="31"/>
    <x v="8"/>
    <x v="6"/>
    <x v="9"/>
    <n v="13"/>
    <x v="0"/>
    <n v="40"/>
    <s v="40"/>
    <x v="2"/>
    <n v="1.2"/>
    <b v="0"/>
    <x v="0"/>
    <n v="62"/>
    <n v="0.62"/>
  </r>
  <r>
    <s v="FL250908"/>
    <s v="Kristen Haney"/>
    <s v="Kristen Haney"/>
    <s v="FEMALE"/>
    <s v="Female"/>
    <n v="55"/>
    <x v="12"/>
    <x v="10"/>
    <x v="4"/>
    <n v="2"/>
    <x v="2"/>
    <s v="USD 30"/>
    <s v="30"/>
    <x v="3"/>
    <n v="3.1"/>
    <s v="Y"/>
    <x v="1"/>
    <n v="0.91"/>
    <n v="0.91"/>
  </r>
  <r>
    <s v="FL250909"/>
    <s v="Kathy Reese"/>
    <s v="Kathy Reese"/>
    <s v="f"/>
    <s v="Female"/>
    <n v="59"/>
    <x v="6"/>
    <x v="5"/>
    <x v="3"/>
    <n v="11"/>
    <x v="0"/>
    <n v="75"/>
    <s v="75"/>
    <x v="4"/>
    <n v="2.2999999999999998"/>
    <s v="Y"/>
    <x v="1"/>
    <n v="0.8"/>
    <n v="0.8"/>
  </r>
  <r>
    <s v="FL250910"/>
    <s v="Steven Murphy"/>
    <s v="Steven Murphy"/>
    <s v="male"/>
    <s v="Male"/>
    <n v="59"/>
    <x v="15"/>
    <x v="12"/>
    <x v="7"/>
    <n v="17"/>
    <x v="4"/>
    <n v="100"/>
    <n v="100"/>
    <x v="0"/>
    <n v="4"/>
    <s v="no"/>
    <x v="0"/>
    <n v="0.72"/>
    <n v="0.72"/>
  </r>
  <r>
    <s v="FL250911"/>
    <s v="William Hartman"/>
    <s v="William Hartman"/>
    <s v="m"/>
    <s v="Male"/>
    <n v="47"/>
    <x v="10"/>
    <x v="8"/>
    <x v="0"/>
    <n v="10"/>
    <x v="3"/>
    <n v="75"/>
    <s v="75"/>
    <x v="4"/>
    <n v="1.9"/>
    <m/>
    <x v="2"/>
    <m/>
    <m/>
  </r>
  <r>
    <s v="FL250912"/>
    <s v="Sonya Haley"/>
    <s v="Sonya Haley"/>
    <s v="FEMALE"/>
    <s v="Female"/>
    <n v="53"/>
    <x v="17"/>
    <x v="14"/>
    <x v="9"/>
    <n v="26"/>
    <x v="1"/>
    <n v="75"/>
    <n v="75"/>
    <x v="4"/>
    <n v="2.4"/>
    <s v="yes"/>
    <x v="1"/>
    <m/>
    <m/>
  </r>
  <r>
    <s v="FL250913"/>
    <s v="Robert Evans"/>
    <s v="Robert Evans"/>
    <s v="male"/>
    <s v="Male"/>
    <n v="49"/>
    <x v="17"/>
    <x v="14"/>
    <x v="5"/>
    <m/>
    <x v="2"/>
    <n v="30"/>
    <s v="30"/>
    <x v="3"/>
    <m/>
    <s v="yes"/>
    <x v="1"/>
    <n v="0.74"/>
    <n v="0.74"/>
  </r>
  <r>
    <s v="FL250914"/>
    <s v="Patricia Richardson"/>
    <s v="Patricia Richardson"/>
    <s v="f"/>
    <s v="Female"/>
    <n v="50"/>
    <x v="17"/>
    <x v="14"/>
    <x v="1"/>
    <n v="8"/>
    <x v="3"/>
    <s v="USD 50"/>
    <s v="50"/>
    <x v="1"/>
    <n v="3.7"/>
    <s v="Y"/>
    <x v="1"/>
    <n v="0.82"/>
    <n v="0.82"/>
  </r>
  <r>
    <s v="FL250915"/>
    <s v="Carolyn Lopez"/>
    <s v="Carolyn Lopez"/>
    <s v="FEMALE"/>
    <s v="Female"/>
    <n v="59"/>
    <x v="12"/>
    <x v="10"/>
    <x v="9"/>
    <n v="22"/>
    <x v="1"/>
    <s v="USD 100"/>
    <s v="100"/>
    <x v="0"/>
    <n v="1.1000000000000001"/>
    <s v="no"/>
    <x v="0"/>
    <n v="0.85"/>
    <n v="0.85"/>
  </r>
  <r>
    <s v="FL250916"/>
    <s v="Kyle Burns"/>
    <s v="Kyle Burns"/>
    <s v="m"/>
    <s v="Male"/>
    <n v="33"/>
    <x v="6"/>
    <x v="5"/>
    <x v="5"/>
    <n v="8"/>
    <x v="3"/>
    <s v="USD 75"/>
    <s v="75"/>
    <x v="4"/>
    <n v="2.2999999999999998"/>
    <b v="1"/>
    <x v="1"/>
    <n v="0.68"/>
    <n v="0.68"/>
  </r>
  <r>
    <s v="FL250917"/>
    <s v="Margaret Garcia"/>
    <s v="Margaret Garcia"/>
    <s v="f"/>
    <s v="Female"/>
    <n v="45"/>
    <x v="14"/>
    <x v="1"/>
    <x v="3"/>
    <n v="22"/>
    <x v="1"/>
    <n v="40"/>
    <n v="40"/>
    <x v="2"/>
    <n v="3.7"/>
    <s v="Y"/>
    <x v="1"/>
    <n v="0.99"/>
    <n v="0.99"/>
  </r>
  <r>
    <s v="FL250918"/>
    <s v="Brittany Barker"/>
    <s v="Brittany Barker"/>
    <s v="FEMALE"/>
    <s v="Female"/>
    <n v="36"/>
    <x v="0"/>
    <x v="0"/>
    <x v="2"/>
    <n v="14"/>
    <x v="0"/>
    <n v="30"/>
    <n v="30"/>
    <x v="3"/>
    <n v="1.9"/>
    <n v="0"/>
    <x v="0"/>
    <n v="0.62"/>
    <n v="0.62"/>
  </r>
  <r>
    <s v="FL250919"/>
    <s v="Paul Campbell"/>
    <s v="Paul Campbell"/>
    <s v="male"/>
    <s v="Male"/>
    <n v="46"/>
    <x v="17"/>
    <x v="14"/>
    <x v="6"/>
    <n v="6"/>
    <x v="3"/>
    <n v="30"/>
    <n v="30"/>
    <x v="3"/>
    <n v="1.5"/>
    <s v="N"/>
    <x v="0"/>
    <m/>
    <m/>
  </r>
  <r>
    <s v="FL250920"/>
    <s v="Amy Morrow"/>
    <s v="Amy Morrow"/>
    <s v="FEMALE"/>
    <s v="Female"/>
    <n v="53"/>
    <x v="6"/>
    <x v="5"/>
    <x v="2"/>
    <n v="14"/>
    <x v="0"/>
    <n v="30"/>
    <n v="30"/>
    <x v="3"/>
    <n v="0"/>
    <b v="0"/>
    <x v="0"/>
    <n v="0.83"/>
    <n v="0.83"/>
  </r>
  <r>
    <s v="FL250921"/>
    <s v="Amy Fitzgerald"/>
    <s v="Amy Fitzgerald"/>
    <s v="f"/>
    <s v="Female"/>
    <n v="24"/>
    <x v="5"/>
    <x v="1"/>
    <x v="3"/>
    <n v="2"/>
    <x v="2"/>
    <n v="30"/>
    <n v="30"/>
    <x v="3"/>
    <n v="3.6"/>
    <m/>
    <x v="2"/>
    <n v="0.92"/>
    <n v="0.92"/>
  </r>
  <r>
    <s v="FL250922"/>
    <s v="Anita Becker"/>
    <s v="Anita Becker"/>
    <s v="FEMALE"/>
    <s v="Female"/>
    <n v="49"/>
    <x v="20"/>
    <x v="6"/>
    <x v="8"/>
    <n v="4"/>
    <x v="2"/>
    <n v="75"/>
    <s v="75"/>
    <x v="4"/>
    <n v="2.1"/>
    <m/>
    <x v="2"/>
    <n v="0.85"/>
    <n v="0.85"/>
  </r>
  <r>
    <s v="FL250923"/>
    <s v="Mrs. Amy Brooks"/>
    <s v="Amy Brooks"/>
    <s v="f"/>
    <s v="Female"/>
    <n v="49"/>
    <x v="12"/>
    <x v="10"/>
    <x v="4"/>
    <n v="4"/>
    <x v="2"/>
    <n v="75"/>
    <n v="75"/>
    <x v="4"/>
    <n v="2.9"/>
    <s v="N"/>
    <x v="0"/>
    <m/>
    <m/>
  </r>
  <r>
    <s v="FL250924"/>
    <s v="Lori Marshall"/>
    <s v="Lori Marshall"/>
    <s v="FEMALE"/>
    <s v="Female"/>
    <n v="49"/>
    <x v="12"/>
    <x v="10"/>
    <x v="1"/>
    <n v="24"/>
    <x v="1"/>
    <n v="100"/>
    <n v="100"/>
    <x v="0"/>
    <n v="3.6"/>
    <b v="1"/>
    <x v="1"/>
    <m/>
    <m/>
  </r>
  <r>
    <s v="FL250925"/>
    <s v="Jennifer Miller"/>
    <s v="Jennifer Miller"/>
    <s v="FEMALE"/>
    <s v="Female"/>
    <n v="58"/>
    <x v="11"/>
    <x v="9"/>
    <x v="0"/>
    <n v="29"/>
    <x v="1"/>
    <n v="30"/>
    <n v="30"/>
    <x v="3"/>
    <n v="3.3"/>
    <s v="yes"/>
    <x v="1"/>
    <n v="0.89"/>
    <n v="0.89"/>
  </r>
  <r>
    <s v="FL250926"/>
    <s v="Thomas Young"/>
    <s v="Thomas Young"/>
    <s v="male"/>
    <s v="Male"/>
    <n v="50"/>
    <x v="17"/>
    <x v="14"/>
    <x v="6"/>
    <n v="13"/>
    <x v="0"/>
    <m/>
    <m/>
    <x v="5"/>
    <n v="2.5"/>
    <s v="Y"/>
    <x v="1"/>
    <n v="0.81"/>
    <n v="0.81"/>
  </r>
  <r>
    <s v="FL250927"/>
    <s v="Zachary Larsen"/>
    <s v="Zachary Larsen"/>
    <s v="m"/>
    <s v="Male"/>
    <n v="27"/>
    <x v="17"/>
    <x v="14"/>
    <x v="8"/>
    <n v="1"/>
    <x v="2"/>
    <s v="USD 100"/>
    <s v="100"/>
    <x v="0"/>
    <n v="3.7"/>
    <s v="Y"/>
    <x v="1"/>
    <n v="61"/>
    <n v="0.61"/>
  </r>
  <r>
    <s v="FL250928"/>
    <s v="Valerie Gutierrez"/>
    <s v="Valerie Gutierrez"/>
    <s v="f"/>
    <s v="Female"/>
    <n v="20"/>
    <x v="12"/>
    <x v="10"/>
    <x v="9"/>
    <m/>
    <x v="2"/>
    <n v="30"/>
    <s v="30"/>
    <x v="3"/>
    <n v="4.5999999999999996"/>
    <n v="1"/>
    <x v="1"/>
    <m/>
    <m/>
  </r>
  <r>
    <s v="FL250929"/>
    <s v="Daniel Parker"/>
    <s v="Daniel Parker"/>
    <s v="male"/>
    <s v="Male"/>
    <n v="52"/>
    <x v="13"/>
    <x v="11"/>
    <x v="0"/>
    <n v="15"/>
    <x v="0"/>
    <n v="40"/>
    <s v="40"/>
    <x v="2"/>
    <n v="0"/>
    <n v="1"/>
    <x v="1"/>
    <n v="0.92"/>
    <n v="0.92"/>
  </r>
  <r>
    <s v="FL250930"/>
    <s v="Nicole Bennett"/>
    <s v="Nicole Bennett"/>
    <s v="FEMALE"/>
    <s v="Female"/>
    <n v="22"/>
    <x v="15"/>
    <x v="12"/>
    <x v="9"/>
    <n v="2"/>
    <x v="2"/>
    <n v="30"/>
    <n v="30"/>
    <x v="3"/>
    <n v="2"/>
    <s v="no"/>
    <x v="0"/>
    <n v="0.96"/>
    <n v="0.96"/>
  </r>
  <r>
    <s v="FL250931"/>
    <s v="Lauren Lowery"/>
    <s v="Lauren Lowery"/>
    <s v="FEMALE"/>
    <s v="Female"/>
    <n v="38"/>
    <x v="6"/>
    <x v="5"/>
    <x v="3"/>
    <n v="14"/>
    <x v="0"/>
    <n v="100"/>
    <n v="100"/>
    <x v="0"/>
    <n v="1.7"/>
    <b v="0"/>
    <x v="0"/>
    <n v="0.66"/>
    <n v="0.66"/>
  </r>
  <r>
    <s v="FL250932"/>
    <s v="Alexander Woodward"/>
    <s v="Alexander Woodward"/>
    <s v="male"/>
    <s v="Male"/>
    <n v="21"/>
    <x v="14"/>
    <x v="1"/>
    <x v="2"/>
    <n v="0"/>
    <x v="2"/>
    <s v="USD 100"/>
    <s v="100"/>
    <x v="0"/>
    <n v="3"/>
    <s v="N"/>
    <x v="0"/>
    <n v="0.64"/>
    <n v="0.64"/>
  </r>
  <r>
    <s v="FL250933"/>
    <s v="Anthony Walter"/>
    <s v="Anthony Walter"/>
    <s v="male"/>
    <s v="Male"/>
    <n v="41"/>
    <x v="1"/>
    <x v="1"/>
    <x v="4"/>
    <n v="15"/>
    <x v="0"/>
    <n v="40"/>
    <n v="40"/>
    <x v="2"/>
    <n v="3.4"/>
    <b v="0"/>
    <x v="0"/>
    <n v="1"/>
    <n v="1"/>
  </r>
  <r>
    <s v="FL250934"/>
    <s v="Valerie Finley"/>
    <s v="Valerie Finley"/>
    <s v="FEMALE"/>
    <s v="Female"/>
    <n v="33"/>
    <x v="4"/>
    <x v="4"/>
    <x v="0"/>
    <n v="6"/>
    <x v="3"/>
    <n v="40"/>
    <n v="40"/>
    <x v="2"/>
    <n v="3.2"/>
    <n v="1"/>
    <x v="1"/>
    <n v="0.95"/>
    <n v="0.95"/>
  </r>
  <r>
    <s v="FL250935"/>
    <s v="Deborah Kelley"/>
    <s v="Deborah Kelley"/>
    <s v="f"/>
    <s v="Female"/>
    <n v="38"/>
    <x v="19"/>
    <x v="6"/>
    <x v="1"/>
    <n v="11"/>
    <x v="0"/>
    <m/>
    <m/>
    <x v="5"/>
    <n v="2.8"/>
    <m/>
    <x v="2"/>
    <n v="91"/>
    <n v="0.91"/>
  </r>
  <r>
    <s v="FL250936"/>
    <s v="Kristina Miller"/>
    <s v="Kristina Miller"/>
    <s v="f"/>
    <s v="Female"/>
    <n v="26"/>
    <x v="13"/>
    <x v="11"/>
    <x v="8"/>
    <n v="8"/>
    <x v="3"/>
    <s v="USD 20"/>
    <s v="20"/>
    <x v="6"/>
    <n v="4.0999999999999996"/>
    <s v="yes"/>
    <x v="1"/>
    <n v="0.82"/>
    <n v="0.82"/>
  </r>
  <r>
    <s v="FL250937"/>
    <s v="Anne Hampton"/>
    <s v="Anne Hampton"/>
    <s v="f"/>
    <s v="Female"/>
    <n v="43"/>
    <x v="3"/>
    <x v="3"/>
    <x v="4"/>
    <n v="3"/>
    <x v="2"/>
    <n v="20"/>
    <n v="20"/>
    <x v="6"/>
    <n v="0"/>
    <s v="Y"/>
    <x v="1"/>
    <n v="0.95"/>
    <n v="0.95"/>
  </r>
  <r>
    <s v="FL250938"/>
    <s v="Sandra Henry"/>
    <s v="Sandra Henry"/>
    <s v="FEMALE"/>
    <s v="Female"/>
    <n v="21"/>
    <x v="0"/>
    <x v="0"/>
    <x v="7"/>
    <n v="0"/>
    <x v="2"/>
    <m/>
    <m/>
    <x v="5"/>
    <n v="0"/>
    <n v="1"/>
    <x v="1"/>
    <n v="0.95"/>
    <n v="0.95"/>
  </r>
  <r>
    <s v="FL250939"/>
    <s v="Tony Hester"/>
    <s v="Tony Hester"/>
    <s v="male"/>
    <s v="Male"/>
    <n v="47"/>
    <x v="12"/>
    <x v="10"/>
    <x v="1"/>
    <n v="7"/>
    <x v="3"/>
    <s v="USD 30"/>
    <s v="30"/>
    <x v="3"/>
    <m/>
    <m/>
    <x v="2"/>
    <n v="69"/>
    <n v="0.69"/>
  </r>
  <r>
    <s v="FL250940"/>
    <s v="Nathan Davis"/>
    <s v="Nathan Davis"/>
    <s v="male"/>
    <s v="Male"/>
    <n v="35"/>
    <x v="20"/>
    <x v="6"/>
    <x v="2"/>
    <n v="6"/>
    <x v="3"/>
    <n v="40"/>
    <n v="40"/>
    <x v="2"/>
    <m/>
    <s v="yes"/>
    <x v="1"/>
    <n v="0.91"/>
    <n v="0.91"/>
  </r>
  <r>
    <s v="FL250941"/>
    <s v="Erica Jackson"/>
    <s v="Erica Jackson"/>
    <s v="FEMALE"/>
    <s v="Female"/>
    <n v="37"/>
    <x v="4"/>
    <x v="4"/>
    <x v="1"/>
    <n v="9"/>
    <x v="3"/>
    <n v="30"/>
    <s v="30"/>
    <x v="3"/>
    <n v="2.7"/>
    <n v="1"/>
    <x v="1"/>
    <m/>
    <m/>
  </r>
  <r>
    <s v="FL250942"/>
    <s v="Nancy Glover"/>
    <s v="Nancy Glover"/>
    <s v="FEMALE"/>
    <s v="Female"/>
    <n v="38"/>
    <x v="11"/>
    <x v="9"/>
    <x v="4"/>
    <n v="15"/>
    <x v="0"/>
    <n v="40"/>
    <n v="40"/>
    <x v="2"/>
    <n v="4"/>
    <m/>
    <x v="2"/>
    <n v="0.62"/>
    <n v="0.62"/>
  </r>
  <r>
    <s v="FL250943"/>
    <s v="Richard Sanchez"/>
    <s v="Richard Sanchez"/>
    <s v="male"/>
    <s v="Male"/>
    <n v="40"/>
    <x v="14"/>
    <x v="1"/>
    <x v="5"/>
    <n v="20"/>
    <x v="4"/>
    <n v="20"/>
    <n v="20"/>
    <x v="6"/>
    <n v="2.5"/>
    <n v="0"/>
    <x v="0"/>
    <n v="0.81"/>
    <n v="0.81"/>
  </r>
  <r>
    <s v="FL250944"/>
    <s v="Savannah Reid"/>
    <s v="Savannah Reid"/>
    <s v="f"/>
    <s v="Female"/>
    <n v="46"/>
    <x v="11"/>
    <x v="9"/>
    <x v="5"/>
    <n v="16"/>
    <x v="4"/>
    <n v="75"/>
    <n v="75"/>
    <x v="4"/>
    <n v="0"/>
    <s v="no"/>
    <x v="0"/>
    <n v="0.94"/>
    <n v="0.94"/>
  </r>
  <r>
    <s v="FL250945"/>
    <s v="Robert Salazar"/>
    <s v="Robert Salazar"/>
    <s v="m"/>
    <s v="Male"/>
    <n v="56"/>
    <x v="16"/>
    <x v="13"/>
    <x v="8"/>
    <n v="22"/>
    <x v="1"/>
    <s v="USD 30"/>
    <s v="30"/>
    <x v="3"/>
    <m/>
    <s v="no"/>
    <x v="0"/>
    <n v="0.95"/>
    <n v="0.95"/>
  </r>
  <r>
    <s v="FL250946"/>
    <s v="Hector Greer"/>
    <s v="Hector Greer"/>
    <s v="m"/>
    <s v="Male"/>
    <n v="24"/>
    <x v="6"/>
    <x v="5"/>
    <x v="2"/>
    <n v="2"/>
    <x v="2"/>
    <m/>
    <m/>
    <x v="5"/>
    <n v="1.6"/>
    <s v="no"/>
    <x v="0"/>
    <n v="1"/>
    <n v="1"/>
  </r>
  <r>
    <s v="FL250947"/>
    <s v="Thomas Jackson"/>
    <s v="Thomas Jackson"/>
    <s v="m"/>
    <s v="Male"/>
    <m/>
    <x v="19"/>
    <x v="6"/>
    <x v="4"/>
    <n v="1"/>
    <x v="2"/>
    <n v="75"/>
    <n v="75"/>
    <x v="4"/>
    <n v="0"/>
    <b v="1"/>
    <x v="1"/>
    <n v="0.94"/>
    <n v="0.94"/>
  </r>
  <r>
    <s v="FL250948"/>
    <s v="Tina Clark"/>
    <s v="Tina Clark"/>
    <s v="f"/>
    <s v="Female"/>
    <n v="38"/>
    <x v="6"/>
    <x v="5"/>
    <x v="1"/>
    <n v="8"/>
    <x v="3"/>
    <n v="30"/>
    <n v="30"/>
    <x v="3"/>
    <n v="4"/>
    <n v="1"/>
    <x v="1"/>
    <n v="0.92"/>
    <n v="0.92"/>
  </r>
  <r>
    <s v="FL250949"/>
    <s v="Heather Brown"/>
    <s v="Heather Brown"/>
    <s v="FEMALE"/>
    <s v="Female"/>
    <n v="28"/>
    <x v="15"/>
    <x v="12"/>
    <x v="8"/>
    <n v="8"/>
    <x v="3"/>
    <s v="USD 50"/>
    <s v="50"/>
    <x v="1"/>
    <n v="2.5"/>
    <b v="1"/>
    <x v="1"/>
    <n v="0.95"/>
    <n v="0.95"/>
  </r>
  <r>
    <s v="FL250950"/>
    <s v="John Weaver"/>
    <s v="John Weaver"/>
    <s v="m"/>
    <s v="Male"/>
    <n v="25"/>
    <x v="11"/>
    <x v="9"/>
    <x v="8"/>
    <n v="7"/>
    <x v="3"/>
    <n v="20"/>
    <s v="20"/>
    <x v="6"/>
    <n v="3.8"/>
    <m/>
    <x v="2"/>
    <n v="0.97"/>
    <n v="0.97"/>
  </r>
  <r>
    <s v="FL250951"/>
    <s v="Bradley Harris"/>
    <s v="Bradley Harris"/>
    <s v="male"/>
    <s v="Male"/>
    <n v="41"/>
    <x v="7"/>
    <x v="1"/>
    <x v="8"/>
    <n v="8"/>
    <x v="3"/>
    <n v="50"/>
    <n v="50"/>
    <x v="1"/>
    <n v="4.8"/>
    <s v="N"/>
    <x v="0"/>
    <n v="0.75"/>
    <n v="0.75"/>
  </r>
  <r>
    <s v="FL250952"/>
    <s v="Cassandra Macdonald"/>
    <s v="Cassandra Macdonald"/>
    <s v="f"/>
    <s v="Female"/>
    <n v="45"/>
    <x v="19"/>
    <x v="6"/>
    <x v="5"/>
    <n v="6"/>
    <x v="3"/>
    <n v="40"/>
    <n v="40"/>
    <x v="2"/>
    <n v="2"/>
    <n v="1"/>
    <x v="1"/>
    <n v="0.78"/>
    <n v="0.78"/>
  </r>
  <r>
    <s v="FL250953"/>
    <s v="Matthew White"/>
    <s v="Matthew White"/>
    <s v="m"/>
    <s v="Male"/>
    <n v="47"/>
    <x v="6"/>
    <x v="5"/>
    <x v="8"/>
    <n v="16"/>
    <x v="4"/>
    <n v="100"/>
    <s v="100"/>
    <x v="0"/>
    <n v="3.3"/>
    <n v="0"/>
    <x v="0"/>
    <n v="0.65"/>
    <n v="0.65"/>
  </r>
  <r>
    <s v="FL250954"/>
    <s v="Miss Kimberly Marshall"/>
    <s v="Miss Kimberly Marshall"/>
    <s v="f"/>
    <s v="Female"/>
    <n v="59"/>
    <x v="7"/>
    <x v="1"/>
    <x v="5"/>
    <n v="40"/>
    <x v="1"/>
    <n v="40"/>
    <n v="40"/>
    <x v="2"/>
    <n v="2.5"/>
    <b v="1"/>
    <x v="1"/>
    <n v="70"/>
    <n v="0.7"/>
  </r>
  <r>
    <s v="FL250955"/>
    <s v="Laura Thompson"/>
    <s v="Laura Thompson"/>
    <s v="FEMALE"/>
    <s v="Female"/>
    <n v="25"/>
    <x v="14"/>
    <x v="1"/>
    <x v="0"/>
    <n v="6"/>
    <x v="3"/>
    <n v="100"/>
    <s v="100"/>
    <x v="0"/>
    <m/>
    <s v="Y"/>
    <x v="1"/>
    <n v="78"/>
    <n v="0.78"/>
  </r>
  <r>
    <s v="FL250956"/>
    <s v="Nathan Soto"/>
    <s v="Nathan Soto"/>
    <s v="male"/>
    <s v="Male"/>
    <n v="27"/>
    <x v="1"/>
    <x v="1"/>
    <x v="3"/>
    <n v="3"/>
    <x v="2"/>
    <s v="USD 50"/>
    <s v="50"/>
    <x v="1"/>
    <m/>
    <n v="1"/>
    <x v="1"/>
    <n v="0.96"/>
    <n v="0.96"/>
  </r>
  <r>
    <s v="FL250957"/>
    <s v="Rhonda Hines"/>
    <s v="Rhonda Hines"/>
    <s v="f"/>
    <s v="Female"/>
    <n v="57"/>
    <x v="1"/>
    <x v="1"/>
    <x v="4"/>
    <n v="5"/>
    <x v="2"/>
    <s v="USD 100"/>
    <s v="100"/>
    <x v="0"/>
    <n v="0"/>
    <n v="1"/>
    <x v="1"/>
    <n v="0.8"/>
    <n v="0.8"/>
  </r>
  <r>
    <s v="FL250958"/>
    <s v="Gabrielle Bowman"/>
    <s v="Gabrielle Bowman"/>
    <s v="f"/>
    <s v="Female"/>
    <n v="34"/>
    <x v="6"/>
    <x v="5"/>
    <x v="6"/>
    <n v="12"/>
    <x v="0"/>
    <n v="20"/>
    <s v="20"/>
    <x v="6"/>
    <n v="1.6"/>
    <s v="yes"/>
    <x v="1"/>
    <n v="0.64"/>
    <n v="0.64"/>
  </r>
  <r>
    <s v="FL250959"/>
    <s v="Julian Edwards"/>
    <s v="Julian Edwards"/>
    <s v="m"/>
    <s v="Male"/>
    <n v="55"/>
    <x v="15"/>
    <x v="12"/>
    <x v="6"/>
    <n v="33"/>
    <x v="1"/>
    <n v="50"/>
    <n v="50"/>
    <x v="1"/>
    <n v="0"/>
    <b v="0"/>
    <x v="0"/>
    <n v="0.92"/>
    <n v="0.92"/>
  </r>
  <r>
    <s v="FL250960"/>
    <s v="Nicholas Scott"/>
    <s v="Nicholas Scott"/>
    <s v="male"/>
    <s v="Male"/>
    <n v="21"/>
    <x v="16"/>
    <x v="13"/>
    <x v="0"/>
    <n v="1"/>
    <x v="2"/>
    <n v="100"/>
    <n v="100"/>
    <x v="0"/>
    <n v="0"/>
    <n v="1"/>
    <x v="1"/>
    <m/>
    <m/>
  </r>
  <r>
    <s v="FL250961"/>
    <s v="Daniel Green"/>
    <s v="Daniel Green"/>
    <s v="male"/>
    <s v="Male"/>
    <n v="53"/>
    <x v="3"/>
    <x v="3"/>
    <x v="8"/>
    <n v="27"/>
    <x v="1"/>
    <s v="USD 20"/>
    <s v="20"/>
    <x v="6"/>
    <n v="4.7"/>
    <s v="yes"/>
    <x v="1"/>
    <n v="71"/>
    <n v="0.71"/>
  </r>
  <r>
    <s v="FL250962"/>
    <s v="Catherine Johnston"/>
    <s v="Catherine Johnston"/>
    <s v="f"/>
    <s v="Female"/>
    <n v="21"/>
    <x v="2"/>
    <x v="2"/>
    <x v="6"/>
    <n v="1"/>
    <x v="2"/>
    <n v="100"/>
    <s v="100"/>
    <x v="0"/>
    <n v="0"/>
    <s v="yes"/>
    <x v="1"/>
    <n v="0.95"/>
    <n v="0.95"/>
  </r>
  <r>
    <s v="FL250963"/>
    <s v="Brenda Koch"/>
    <s v="Brenda Koch"/>
    <s v="FEMALE"/>
    <s v="Female"/>
    <n v="36"/>
    <x v="11"/>
    <x v="9"/>
    <x v="3"/>
    <m/>
    <x v="2"/>
    <n v="20"/>
    <n v="20"/>
    <x v="6"/>
    <n v="4.0999999999999996"/>
    <s v="N"/>
    <x v="0"/>
    <n v="0.86"/>
    <n v="0.86"/>
  </r>
  <r>
    <s v="FL250964"/>
    <s v="Mr. Robert Meza"/>
    <s v="Robert Meza"/>
    <s v="male"/>
    <s v="Male"/>
    <n v="40"/>
    <x v="2"/>
    <x v="2"/>
    <x v="4"/>
    <n v="2"/>
    <x v="2"/>
    <n v="30"/>
    <s v="30"/>
    <x v="3"/>
    <n v="1.3"/>
    <n v="1"/>
    <x v="1"/>
    <n v="0.77"/>
    <n v="0.77"/>
  </r>
  <r>
    <s v="FL250965"/>
    <s v="Latoya Brown"/>
    <s v="Latoya Brown"/>
    <s v="FEMALE"/>
    <s v="Female"/>
    <n v="59"/>
    <x v="7"/>
    <x v="1"/>
    <x v="6"/>
    <n v="40"/>
    <x v="1"/>
    <n v="100"/>
    <n v="100"/>
    <x v="0"/>
    <n v="2.6"/>
    <m/>
    <x v="2"/>
    <m/>
    <m/>
  </r>
  <r>
    <s v="FL250966"/>
    <s v="David Osborne III"/>
    <s v="David Osborne III"/>
    <s v="m"/>
    <s v="Male"/>
    <n v="45"/>
    <x v="3"/>
    <x v="3"/>
    <x v="7"/>
    <n v="4"/>
    <x v="2"/>
    <n v="20"/>
    <s v="20"/>
    <x v="6"/>
    <n v="2.7"/>
    <m/>
    <x v="2"/>
    <n v="0.72"/>
    <n v="0.72"/>
  </r>
  <r>
    <s v="FL250967"/>
    <s v="David Hooper"/>
    <s v="David Hooper"/>
    <s v="male"/>
    <s v="Male"/>
    <n v="44"/>
    <x v="12"/>
    <x v="10"/>
    <x v="9"/>
    <n v="9"/>
    <x v="3"/>
    <n v="40"/>
    <n v="40"/>
    <x v="2"/>
    <m/>
    <n v="0"/>
    <x v="0"/>
    <n v="0.7"/>
    <n v="0.7"/>
  </r>
  <r>
    <s v="FL250968"/>
    <s v="Sarah Miller"/>
    <s v="Sarah Miller"/>
    <s v="FEMALE"/>
    <s v="Female"/>
    <n v="36"/>
    <x v="7"/>
    <x v="1"/>
    <x v="7"/>
    <n v="13"/>
    <x v="0"/>
    <n v="30"/>
    <n v="30"/>
    <x v="3"/>
    <n v="3.6"/>
    <n v="0"/>
    <x v="0"/>
    <n v="0.86"/>
    <n v="0.86"/>
  </r>
  <r>
    <s v="FL250969"/>
    <s v="Lisa Werner MD"/>
    <s v="Lisa Werner MD"/>
    <s v="FEMALE"/>
    <s v="Female"/>
    <n v="26"/>
    <x v="10"/>
    <x v="8"/>
    <x v="2"/>
    <n v="1"/>
    <x v="2"/>
    <n v="75"/>
    <n v="75"/>
    <x v="4"/>
    <n v="3"/>
    <n v="1"/>
    <x v="1"/>
    <m/>
    <m/>
  </r>
  <r>
    <s v="FL250970"/>
    <s v="Eric Jimenez"/>
    <s v="Eric Jimenez"/>
    <s v="m"/>
    <s v="Male"/>
    <n v="49"/>
    <x v="10"/>
    <x v="8"/>
    <x v="3"/>
    <n v="1"/>
    <x v="2"/>
    <m/>
    <m/>
    <x v="5"/>
    <n v="0"/>
    <n v="0"/>
    <x v="0"/>
    <n v="0.82"/>
    <n v="0.82"/>
  </r>
  <r>
    <s v="FL250971"/>
    <s v="Jay Bush"/>
    <s v="Jay Bush"/>
    <s v="m"/>
    <s v="Male"/>
    <n v="29"/>
    <x v="15"/>
    <x v="12"/>
    <x v="1"/>
    <n v="3"/>
    <x v="2"/>
    <s v="USD 40"/>
    <s v="40"/>
    <x v="2"/>
    <n v="0"/>
    <b v="1"/>
    <x v="1"/>
    <n v="0.81"/>
    <n v="0.81"/>
  </r>
  <r>
    <s v="FL250972"/>
    <s v="Johnny Rice"/>
    <s v="Johnny Rice"/>
    <s v="m"/>
    <s v="Male"/>
    <n v="32"/>
    <x v="15"/>
    <x v="12"/>
    <x v="2"/>
    <n v="1"/>
    <x v="2"/>
    <n v="40"/>
    <s v="40"/>
    <x v="2"/>
    <n v="3.1"/>
    <n v="1"/>
    <x v="1"/>
    <n v="0.76"/>
    <n v="0.76"/>
  </r>
  <r>
    <s v="FL250973"/>
    <s v="Matthew Strong"/>
    <s v="Matthew Strong"/>
    <s v="male"/>
    <s v="Male"/>
    <n v="24"/>
    <x v="4"/>
    <x v="4"/>
    <x v="0"/>
    <n v="3"/>
    <x v="2"/>
    <s v="USD 30"/>
    <s v="30"/>
    <x v="3"/>
    <n v="3.9"/>
    <s v="N"/>
    <x v="0"/>
    <n v="0.9"/>
    <n v="0.9"/>
  </r>
  <r>
    <s v="FL250974"/>
    <s v="Mark Chandler"/>
    <s v="Mark Chandler"/>
    <s v="male"/>
    <s v="Male"/>
    <n v="35"/>
    <x v="12"/>
    <x v="10"/>
    <x v="8"/>
    <n v="14"/>
    <x v="0"/>
    <n v="30"/>
    <n v="30"/>
    <x v="3"/>
    <n v="1.6"/>
    <s v="Y"/>
    <x v="1"/>
    <n v="0.67"/>
    <n v="0.67"/>
  </r>
  <r>
    <s v="FL250975"/>
    <s v="Crystal Brown"/>
    <s v="Crystal Brown"/>
    <s v="FEMALE"/>
    <s v="Female"/>
    <n v="43"/>
    <x v="20"/>
    <x v="6"/>
    <x v="0"/>
    <n v="2"/>
    <x v="2"/>
    <m/>
    <m/>
    <x v="5"/>
    <n v="1.8"/>
    <s v="no"/>
    <x v="0"/>
    <n v="0.61"/>
    <n v="0.61"/>
  </r>
  <r>
    <s v="FL250976"/>
    <s v="Timothy Barton"/>
    <s v="Timothy Barton"/>
    <s v="male"/>
    <s v="Male"/>
    <n v="53"/>
    <x v="12"/>
    <x v="10"/>
    <x v="9"/>
    <n v="27"/>
    <x v="1"/>
    <n v="100"/>
    <n v="100"/>
    <x v="0"/>
    <n v="3.7"/>
    <s v="no"/>
    <x v="0"/>
    <n v="0.73"/>
    <n v="0.73"/>
  </r>
  <r>
    <s v="FL250977"/>
    <s v="Lisa Hickman"/>
    <s v="Lisa Hickman"/>
    <s v="f"/>
    <s v="Female"/>
    <n v="38"/>
    <x v="13"/>
    <x v="11"/>
    <x v="8"/>
    <n v="7"/>
    <x v="3"/>
    <n v="75"/>
    <n v="75"/>
    <x v="4"/>
    <m/>
    <n v="0"/>
    <x v="0"/>
    <m/>
    <m/>
  </r>
  <r>
    <s v="FL250978"/>
    <s v="Alan Mendoza"/>
    <s v="Alan Mendoza"/>
    <s v="male"/>
    <s v="Male"/>
    <n v="57"/>
    <x v="7"/>
    <x v="1"/>
    <x v="7"/>
    <n v="29"/>
    <x v="1"/>
    <n v="75"/>
    <n v="75"/>
    <x v="4"/>
    <n v="4.0999999999999996"/>
    <s v="N"/>
    <x v="0"/>
    <n v="0.9"/>
    <n v="0.9"/>
  </r>
  <r>
    <s v="FL250979"/>
    <s v="Jason Sanders"/>
    <s v="Jason Sanders"/>
    <s v="male"/>
    <s v="Male"/>
    <n v="27"/>
    <x v="18"/>
    <x v="15"/>
    <x v="0"/>
    <n v="5"/>
    <x v="2"/>
    <n v="75"/>
    <s v="75"/>
    <x v="4"/>
    <n v="1.4"/>
    <b v="1"/>
    <x v="1"/>
    <n v="0.64"/>
    <n v="0.64"/>
  </r>
  <r>
    <s v="FL250980"/>
    <s v="Charles Dean"/>
    <s v="Charles Dean"/>
    <s v="m"/>
    <s v="Male"/>
    <n v="43"/>
    <x v="8"/>
    <x v="6"/>
    <x v="3"/>
    <n v="2"/>
    <x v="2"/>
    <n v="100"/>
    <n v="100"/>
    <x v="0"/>
    <n v="1.1000000000000001"/>
    <n v="1"/>
    <x v="1"/>
    <n v="0.63"/>
    <n v="0.63"/>
  </r>
  <r>
    <s v="FL250981"/>
    <s v="Blake Newton"/>
    <s v="Blake Newton"/>
    <s v="male"/>
    <s v="Male"/>
    <n v="48"/>
    <x v="14"/>
    <x v="1"/>
    <x v="5"/>
    <n v="18"/>
    <x v="4"/>
    <n v="40"/>
    <s v="40"/>
    <x v="2"/>
    <n v="3.9"/>
    <m/>
    <x v="2"/>
    <m/>
    <m/>
  </r>
  <r>
    <s v="FL250982"/>
    <s v="David Gonzalez"/>
    <s v="David Gonzalez"/>
    <s v="m"/>
    <s v="Male"/>
    <n v="26"/>
    <x v="11"/>
    <x v="9"/>
    <x v="7"/>
    <n v="8"/>
    <x v="3"/>
    <n v="20"/>
    <n v="20"/>
    <x v="6"/>
    <n v="3.6"/>
    <n v="0"/>
    <x v="0"/>
    <n v="0.67"/>
    <n v="0.67"/>
  </r>
  <r>
    <s v="FL250983"/>
    <s v="Cindy Williams"/>
    <s v="Cindy Williams"/>
    <s v="FEMALE"/>
    <s v="Female"/>
    <m/>
    <x v="17"/>
    <x v="14"/>
    <x v="2"/>
    <n v="0"/>
    <x v="2"/>
    <n v="40"/>
    <s v="40"/>
    <x v="2"/>
    <n v="0"/>
    <s v="no"/>
    <x v="0"/>
    <n v="0.97"/>
    <n v="0.97"/>
  </r>
  <r>
    <s v="FL250984"/>
    <s v="Laura Wong DDS"/>
    <s v="Laura Wong DDS"/>
    <s v="FEMALE"/>
    <s v="Female"/>
    <n v="50"/>
    <x v="0"/>
    <x v="0"/>
    <x v="5"/>
    <n v="16"/>
    <x v="4"/>
    <n v="75"/>
    <s v="75"/>
    <x v="4"/>
    <n v="4.5"/>
    <n v="0"/>
    <x v="0"/>
    <n v="69"/>
    <n v="0.69"/>
  </r>
  <r>
    <s v="FL250985"/>
    <s v="Robert Moran"/>
    <s v="Robert Moran"/>
    <s v="m"/>
    <s v="Male"/>
    <n v="48"/>
    <x v="17"/>
    <x v="14"/>
    <x v="3"/>
    <n v="8"/>
    <x v="3"/>
    <n v="50"/>
    <n v="50"/>
    <x v="1"/>
    <m/>
    <n v="1"/>
    <x v="1"/>
    <n v="0.73"/>
    <n v="0.73"/>
  </r>
  <r>
    <s v="FL250986"/>
    <s v="Bradley Wu"/>
    <s v="Bradley Wu"/>
    <s v="m"/>
    <s v="Male"/>
    <n v="60"/>
    <x v="20"/>
    <x v="6"/>
    <x v="0"/>
    <n v="39"/>
    <x v="1"/>
    <n v="20"/>
    <n v="20"/>
    <x v="6"/>
    <n v="1.4"/>
    <b v="1"/>
    <x v="1"/>
    <n v="0.86"/>
    <n v="0.86"/>
  </r>
  <r>
    <s v="FL250987"/>
    <s v="Daniel Thomas"/>
    <s v="Daniel Thomas"/>
    <s v="male"/>
    <s v="Male"/>
    <n v="26"/>
    <x v="16"/>
    <x v="13"/>
    <x v="9"/>
    <m/>
    <x v="2"/>
    <n v="50"/>
    <n v="50"/>
    <x v="1"/>
    <n v="0"/>
    <s v="yes"/>
    <x v="1"/>
    <n v="81"/>
    <n v="0.81"/>
  </r>
  <r>
    <s v="FL250988"/>
    <s v="Michelle Peterson"/>
    <s v="Michelle Peterson"/>
    <s v="FEMALE"/>
    <s v="Female"/>
    <n v="35"/>
    <x v="12"/>
    <x v="10"/>
    <x v="2"/>
    <n v="16"/>
    <x v="4"/>
    <s v="USD 100"/>
    <s v="100"/>
    <x v="0"/>
    <n v="4.3"/>
    <n v="1"/>
    <x v="1"/>
    <n v="0.74"/>
    <n v="0.74"/>
  </r>
  <r>
    <s v="FL250989"/>
    <s v="Seth Thomas"/>
    <s v="Seth Thomas"/>
    <s v="male"/>
    <s v="Male"/>
    <n v="23"/>
    <x v="5"/>
    <x v="1"/>
    <x v="0"/>
    <n v="4"/>
    <x v="2"/>
    <n v="100"/>
    <s v="100"/>
    <x v="0"/>
    <n v="2.2000000000000002"/>
    <n v="1"/>
    <x v="1"/>
    <n v="64"/>
    <n v="0.64"/>
  </r>
  <r>
    <s v="FL250990"/>
    <s v="Evan Ramos"/>
    <s v="Evan Ramos"/>
    <s v="male"/>
    <s v="Male"/>
    <n v="37"/>
    <x v="1"/>
    <x v="1"/>
    <x v="2"/>
    <n v="4"/>
    <x v="2"/>
    <n v="75"/>
    <n v="75"/>
    <x v="4"/>
    <n v="3.2"/>
    <b v="0"/>
    <x v="0"/>
    <n v="0.76"/>
    <n v="0.76"/>
  </r>
  <r>
    <s v="FL250991"/>
    <s v="Michelle Solis"/>
    <s v="Michelle Solis"/>
    <s v="FEMALE"/>
    <s v="Female"/>
    <n v="21"/>
    <x v="8"/>
    <x v="6"/>
    <x v="4"/>
    <n v="2"/>
    <x v="2"/>
    <n v="100"/>
    <n v="100"/>
    <x v="0"/>
    <n v="3.7"/>
    <s v="yes"/>
    <x v="1"/>
    <n v="73"/>
    <n v="0.73"/>
  </r>
  <r>
    <s v="FL250992"/>
    <s v="Charlotte Taylor"/>
    <s v="Charlotte Taylor"/>
    <s v="FEMALE"/>
    <s v="Female"/>
    <n v="58"/>
    <x v="2"/>
    <x v="2"/>
    <x v="6"/>
    <n v="37"/>
    <x v="1"/>
    <s v="USD 50"/>
    <s v="50"/>
    <x v="1"/>
    <n v="4.9000000000000004"/>
    <b v="0"/>
    <x v="0"/>
    <n v="0.69"/>
    <n v="0.69"/>
  </r>
  <r>
    <s v="FL250993"/>
    <s v="Sandra Preston"/>
    <s v="Sandra Preston"/>
    <s v="FEMALE"/>
    <s v="Female"/>
    <n v="52"/>
    <x v="4"/>
    <x v="4"/>
    <x v="1"/>
    <n v="32"/>
    <x v="1"/>
    <n v="75"/>
    <s v="75"/>
    <x v="4"/>
    <n v="3.2"/>
    <n v="0"/>
    <x v="0"/>
    <n v="0.79"/>
    <n v="0.79"/>
  </r>
  <r>
    <s v="FL250994"/>
    <s v="Jim Weiss"/>
    <s v="Jim Weiss"/>
    <s v="male"/>
    <s v="Male"/>
    <n v="46"/>
    <x v="13"/>
    <x v="11"/>
    <x v="1"/>
    <n v="8"/>
    <x v="3"/>
    <n v="20"/>
    <n v="20"/>
    <x v="6"/>
    <n v="2.2000000000000002"/>
    <m/>
    <x v="2"/>
    <n v="89"/>
    <n v="0.89"/>
  </r>
  <r>
    <s v="FL250995"/>
    <s v="Jennifer Hinton"/>
    <s v="Jennifer Hinton"/>
    <s v="FEMALE"/>
    <s v="Female"/>
    <n v="34"/>
    <x v="17"/>
    <x v="14"/>
    <x v="8"/>
    <n v="8"/>
    <x v="3"/>
    <n v="30"/>
    <n v="30"/>
    <x v="3"/>
    <n v="3.9"/>
    <s v="Y"/>
    <x v="1"/>
    <n v="0.95"/>
    <n v="0.95"/>
  </r>
  <r>
    <s v="FL250996"/>
    <s v="Albert Wilcox"/>
    <s v="Albert Wilcox"/>
    <s v="male"/>
    <s v="Male"/>
    <n v="56"/>
    <x v="6"/>
    <x v="5"/>
    <x v="8"/>
    <n v="13"/>
    <x v="0"/>
    <n v="100"/>
    <n v="100"/>
    <x v="0"/>
    <n v="0"/>
    <s v="no"/>
    <x v="0"/>
    <n v="0.68"/>
    <n v="0.68"/>
  </r>
  <r>
    <s v="FL250997"/>
    <s v="Cheryl Norris"/>
    <s v="Cheryl Norris"/>
    <s v="f"/>
    <s v="Female"/>
    <n v="26"/>
    <x v="2"/>
    <x v="2"/>
    <x v="0"/>
    <n v="6"/>
    <x v="3"/>
    <s v="USD 40"/>
    <s v="40"/>
    <x v="2"/>
    <n v="2.8"/>
    <s v="N"/>
    <x v="0"/>
    <n v="82"/>
    <n v="0.82"/>
  </r>
  <r>
    <s v="FL250998"/>
    <s v="Kathy Watkins"/>
    <s v="Kathy Watkins"/>
    <s v="FEMALE"/>
    <s v="Female"/>
    <n v="37"/>
    <x v="9"/>
    <x v="7"/>
    <x v="5"/>
    <n v="15"/>
    <x v="0"/>
    <n v="75"/>
    <n v="75"/>
    <x v="4"/>
    <m/>
    <b v="0"/>
    <x v="0"/>
    <n v="0.94"/>
    <n v="0.94"/>
  </r>
  <r>
    <s v="FL250999"/>
    <s v="John Obrien"/>
    <s v="John Obrien"/>
    <s v="m"/>
    <s v="Male"/>
    <n v="46"/>
    <x v="13"/>
    <x v="11"/>
    <x v="9"/>
    <n v="22"/>
    <x v="1"/>
    <n v="100"/>
    <n v="100"/>
    <x v="0"/>
    <n v="2.8"/>
    <s v="yes"/>
    <x v="1"/>
    <n v="97"/>
    <n v="0.97"/>
  </r>
  <r>
    <s v="FL251000"/>
    <s v="Dawn Green"/>
    <s v="Dawn Green"/>
    <s v="FEMALE"/>
    <s v="Female"/>
    <n v="36"/>
    <x v="19"/>
    <x v="6"/>
    <x v="6"/>
    <n v="18"/>
    <x v="4"/>
    <n v="20"/>
    <s v="20"/>
    <x v="6"/>
    <n v="1.7"/>
    <n v="1"/>
    <x v="1"/>
    <n v="72"/>
    <n v="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D3:E9"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4"/>
        <item x="0"/>
        <item x="7"/>
        <item x="5"/>
        <item x="8"/>
        <item x="2"/>
        <item x="9"/>
        <item x="1"/>
        <item x="6"/>
        <item x="3"/>
        <item t="default"/>
      </items>
    </pivotField>
    <pivotField compact="0" outline="0" showAll="0"/>
    <pivotField axis="axisRow" compact="0" outline="0" showAll="0">
      <items count="6">
        <item x="2"/>
        <item x="3"/>
        <item x="0"/>
        <item x="4"/>
        <item x="1"/>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s>
  <rowFields count="1">
    <field x="10"/>
  </rowFields>
  <rowItems count="6">
    <i>
      <x/>
    </i>
    <i>
      <x v="1"/>
    </i>
    <i>
      <x v="2"/>
    </i>
    <i>
      <x v="3"/>
    </i>
    <i>
      <x v="4"/>
    </i>
    <i t="grand">
      <x/>
    </i>
  </rowItems>
  <colItems count="1">
    <i/>
  </colItems>
  <dataFields count="1">
    <dataField name="Count of Freelancer_ID" fld="0" subtotal="count" showDataAs="percentOfTotal" baseField="0" baseItem="0" numFmtId="9"/>
  </dataFields>
  <formats count="1">
    <format dxfId="4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A3:B14" firstHeaderRow="1" firstDataRow="1" firstDataCol="1"/>
  <pivotFields count="1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1">
        <item x="4"/>
        <item x="0"/>
        <item x="7"/>
        <item x="5"/>
        <item x="8"/>
        <item x="2"/>
        <item x="9"/>
        <item x="1"/>
        <item x="6"/>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1"/>
        <item x="0"/>
        <item x="2"/>
        <item t="default"/>
      </items>
    </pivotField>
    <pivotField compact="0" outline="0" showAll="0"/>
    <pivotField compact="0" outline="0" showAll="0"/>
  </pivotFields>
  <rowFields count="1">
    <field x="8"/>
  </rowFields>
  <rowItems count="11">
    <i>
      <x v="4"/>
    </i>
    <i>
      <x v="6"/>
    </i>
    <i>
      <x v="7"/>
    </i>
    <i>
      <x v="8"/>
    </i>
    <i>
      <x v="5"/>
    </i>
    <i>
      <x v="2"/>
    </i>
    <i>
      <x v="9"/>
    </i>
    <i>
      <x v="3"/>
    </i>
    <i>
      <x/>
    </i>
    <i>
      <x v="1"/>
    </i>
    <i t="grand">
      <x/>
    </i>
  </rowItems>
  <colItems count="1">
    <i/>
  </colItems>
  <dataFields count="1">
    <dataField name="Average of Rating" fld="14" subtotal="average" baseField="0" baseItem="0" numFmtId="2"/>
  </dataFields>
  <formats count="1">
    <format dxfId="49">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3">
  <location ref="M3:N25"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22">
        <item x="5"/>
        <item x="7"/>
        <item x="6"/>
        <item x="20"/>
        <item x="12"/>
        <item x="17"/>
        <item x="13"/>
        <item x="3"/>
        <item x="19"/>
        <item x="9"/>
        <item x="0"/>
        <item x="4"/>
        <item x="10"/>
        <item x="2"/>
        <item x="15"/>
        <item x="16"/>
        <item x="18"/>
        <item x="14"/>
        <item x="11"/>
        <item x="1"/>
        <item x="8"/>
        <item t="default"/>
      </items>
      <autoSortScope>
        <pivotArea dataOnly="0" outline="0" fieldPosition="0">
          <references count="1">
            <reference field="4294967294" count="1" selected="0">
              <x v="0"/>
            </reference>
          </references>
        </pivotArea>
      </autoSortScope>
    </pivotField>
    <pivotField compact="0" outline="0"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compact="0" outline="0" showAll="0">
      <items count="11">
        <item x="4"/>
        <item x="0"/>
        <item x="7"/>
        <item x="5"/>
        <item x="8"/>
        <item x="2"/>
        <item x="9"/>
        <item x="1"/>
        <item x="6"/>
        <item x="3"/>
        <item t="default"/>
      </items>
    </pivotField>
    <pivotField compact="0" outline="0" showAll="0"/>
    <pivotField compact="0" outline="0" showAll="0">
      <items count="6">
        <item x="2"/>
        <item x="3"/>
        <item x="0"/>
        <item x="4"/>
        <item x="1"/>
        <item t="default"/>
      </items>
    </pivotField>
    <pivotField compact="0" outline="0" showAll="0"/>
    <pivotField compact="0" outline="0" showAll="0"/>
    <pivotField compact="0" outline="0" showAll="0">
      <items count="8">
        <item x="0"/>
        <item x="4"/>
        <item x="1"/>
        <item x="2"/>
        <item x="3"/>
        <item x="6"/>
        <item x="5"/>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s>
  <rowFields count="1">
    <field x="6"/>
  </rowFields>
  <rowItems count="22">
    <i>
      <x v="4"/>
    </i>
    <i>
      <x v="17"/>
    </i>
    <i>
      <x v="13"/>
    </i>
    <i>
      <x v="19"/>
    </i>
    <i>
      <x v="7"/>
    </i>
    <i>
      <x v="1"/>
    </i>
    <i>
      <x v="8"/>
    </i>
    <i>
      <x/>
    </i>
    <i>
      <x v="16"/>
    </i>
    <i>
      <x v="6"/>
    </i>
    <i>
      <x v="20"/>
    </i>
    <i>
      <x v="11"/>
    </i>
    <i>
      <x v="12"/>
    </i>
    <i>
      <x v="3"/>
    </i>
    <i>
      <x v="2"/>
    </i>
    <i>
      <x v="14"/>
    </i>
    <i>
      <x v="5"/>
    </i>
    <i>
      <x v="15"/>
    </i>
    <i>
      <x v="10"/>
    </i>
    <i>
      <x v="9"/>
    </i>
    <i>
      <x v="18"/>
    </i>
    <i t="grand">
      <x/>
    </i>
  </rowItems>
  <colItems count="1">
    <i/>
  </colItems>
  <dataFields count="1">
    <dataField name="Count of Freelancer_ID" fld="0" subtotal="count" baseField="0" baseItem="0" numFmtId="1"/>
  </dataFields>
  <formats count="2">
    <format dxfId="51">
      <pivotArea field="7" type="button" dataOnly="0" labelOnly="1" outline="0"/>
    </format>
    <format dxfId="5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J3:K20"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compact="0" outline="0" showAll="0">
      <items count="11">
        <item x="4"/>
        <item x="0"/>
        <item x="7"/>
        <item x="5"/>
        <item x="8"/>
        <item x="2"/>
        <item x="9"/>
        <item x="1"/>
        <item x="6"/>
        <item x="3"/>
        <item t="default"/>
      </items>
    </pivotField>
    <pivotField compact="0" outline="0" showAll="0"/>
    <pivotField compact="0" outline="0" showAll="0">
      <items count="6">
        <item x="2"/>
        <item x="3"/>
        <item x="0"/>
        <item x="4"/>
        <item x="1"/>
        <item t="default"/>
      </items>
    </pivotField>
    <pivotField compact="0" outline="0" showAll="0"/>
    <pivotField compact="0" outline="0" showAll="0"/>
    <pivotField compact="0" outline="0" showAll="0">
      <items count="8">
        <item x="0"/>
        <item x="4"/>
        <item x="1"/>
        <item x="2"/>
        <item x="3"/>
        <item x="6"/>
        <item x="5"/>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s>
  <rowFields count="1">
    <field x="7"/>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0" subtotal="count" baseField="0" baseItem="0" numFmtId="1"/>
  </dataFields>
  <formats count="2">
    <format dxfId="53">
      <pivotArea field="7" type="button" dataOnly="0" labelOnly="1" outline="0" axis="axisRow" fieldPosition="0"/>
    </format>
    <format dxfId="5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3">
  <location ref="G3:H11"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4"/>
        <item x="0"/>
        <item x="7"/>
        <item x="5"/>
        <item x="8"/>
        <item x="2"/>
        <item x="9"/>
        <item x="1"/>
        <item x="6"/>
        <item x="3"/>
        <item t="default"/>
      </items>
    </pivotField>
    <pivotField compact="0" outline="0" showAll="0"/>
    <pivotField compact="0" outline="0" showAll="0">
      <items count="6">
        <item x="2"/>
        <item x="3"/>
        <item x="0"/>
        <item x="4"/>
        <item x="1"/>
        <item t="default"/>
      </items>
    </pivotField>
    <pivotField compact="0" outline="0" showAll="0"/>
    <pivotField compact="0" outline="0" showAll="0"/>
    <pivotField axis="axisRow" compact="0" outline="0" showAll="0">
      <items count="8">
        <item x="0"/>
        <item x="4"/>
        <item x="1"/>
        <item x="2"/>
        <item x="3"/>
        <item x="6"/>
        <item x="5"/>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s>
  <rowFields count="1">
    <field x="13"/>
  </rowFields>
  <rowItems count="8">
    <i>
      <x/>
    </i>
    <i>
      <x v="1"/>
    </i>
    <i>
      <x v="2"/>
    </i>
    <i>
      <x v="3"/>
    </i>
    <i>
      <x v="4"/>
    </i>
    <i>
      <x v="5"/>
    </i>
    <i>
      <x v="6"/>
    </i>
    <i t="grand">
      <x/>
    </i>
  </rowItems>
  <colItems count="1">
    <i/>
  </colItems>
  <dataFields count="1">
    <dataField name="Count of Freelancer_ID" fld="0" subtotal="count" showDataAs="percentOfTotal" baseField="0" baseItem="0" numFmtId="9"/>
  </dataFields>
  <formats count="2">
    <format dxfId="55">
      <pivotArea dataOnly="0" labelOnly="1" outline="0" fieldPosition="0">
        <references count="1">
          <reference field="13" count="1">
            <x v="6"/>
          </reference>
        </references>
      </pivotArea>
    </format>
    <format dxfId="5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imary_Skill" sourceName="Primary Skill">
  <pivotTables>
    <pivotTable tabId="2" name="PivotTable15"/>
    <pivotTable tabId="2" name="PivotTable13"/>
    <pivotTable tabId="2" name="PivotTable14"/>
    <pivotTable tabId="2" name="PivotTable16"/>
    <pivotTable tabId="2" name="PivotTable17"/>
  </pivotTables>
  <data>
    <tabular pivotCacheId="1">
      <items count="10">
        <i x="4" s="1"/>
        <i x="0" s="1"/>
        <i x="7" s="1"/>
        <i x="5" s="1"/>
        <i x="8" s="1"/>
        <i x="2" s="1"/>
        <i x="9" s="1"/>
        <i x="1"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 name="PivotTable15"/>
    <pivotTable tabId="2" name="PivotTable13"/>
    <pivotTable tabId="2" name="PivotTable14"/>
    <pivotTable tabId="2" name="PivotTable16"/>
    <pivotTable tabId="2" name="PivotTable17"/>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imary Skill" cache="Slicer_Primary_Skill" caption="Primary Skill" startItem="1" rowHeight="241300"/>
  <slicer name="Status" cache="Slicer_Status" caption="Status"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workbookViewId="0">
      <selection activeCell="U6" sqref="U6"/>
    </sheetView>
  </sheetViews>
  <sheetFormatPr defaultRowHeight="15" customHeight="1" x14ac:dyDescent="0.25"/>
  <cols>
    <col min="1" max="1" width="15.25" customWidth="1"/>
    <col min="2" max="2" width="23.9140625" hidden="1" customWidth="1"/>
    <col min="3" max="3" width="18.5" customWidth="1"/>
    <col min="4" max="4" width="13.6640625" hidden="1" customWidth="1"/>
    <col min="5" max="5" width="15.4140625" customWidth="1"/>
    <col min="6" max="6" width="10.5" style="5" customWidth="1"/>
    <col min="7" max="7" width="14.9140625" customWidth="1"/>
    <col min="8" max="8" width="11.4140625" customWidth="1"/>
    <col min="9" max="9" width="22.4140625" customWidth="1"/>
    <col min="10" max="10" width="21.25" style="5" customWidth="1"/>
    <col min="11" max="11" width="21.25" customWidth="1"/>
    <col min="12" max="12" width="23.1640625" hidden="1" customWidth="1"/>
    <col min="13" max="14" width="18.75" style="4" customWidth="1"/>
    <col min="15" max="15" width="8.6640625" style="5"/>
    <col min="16" max="16" width="15.1640625" hidden="1" customWidth="1"/>
    <col min="17" max="17" width="11.75" customWidth="1"/>
    <col min="18" max="18" width="18.9140625" hidden="1" customWidth="1"/>
    <col min="19" max="19" width="19.9140625" style="6" customWidth="1"/>
  </cols>
  <sheetData>
    <row r="1" spans="1:19" ht="15" customHeight="1" x14ac:dyDescent="0.25">
      <c r="A1" t="s">
        <v>0</v>
      </c>
      <c r="B1" t="s">
        <v>1</v>
      </c>
      <c r="C1" t="s">
        <v>2</v>
      </c>
      <c r="D1" t="s">
        <v>3</v>
      </c>
      <c r="E1" t="s">
        <v>4</v>
      </c>
      <c r="F1" s="5" t="s">
        <v>5</v>
      </c>
      <c r="G1" t="s">
        <v>6</v>
      </c>
      <c r="H1" t="s">
        <v>7</v>
      </c>
      <c r="I1" t="s">
        <v>8</v>
      </c>
      <c r="J1" s="5" t="s">
        <v>9</v>
      </c>
      <c r="K1" t="s">
        <v>10</v>
      </c>
      <c r="L1" t="s">
        <v>11</v>
      </c>
      <c r="M1" s="4" t="s">
        <v>12</v>
      </c>
      <c r="N1" s="4" t="s">
        <v>13</v>
      </c>
      <c r="O1" s="5" t="s">
        <v>14</v>
      </c>
      <c r="P1" t="s">
        <v>15</v>
      </c>
      <c r="Q1" t="s">
        <v>16</v>
      </c>
      <c r="R1" t="s">
        <v>17</v>
      </c>
      <c r="S1" s="6" t="s">
        <v>18</v>
      </c>
    </row>
    <row r="2" spans="1:19" ht="15" customHeight="1" x14ac:dyDescent="0.25">
      <c r="A2" t="s">
        <v>293</v>
      </c>
      <c r="B2" t="s">
        <v>294</v>
      </c>
      <c r="C2" t="str">
        <f>_xlfn.TEXTAFTER(B2,". ",)</f>
        <v>Nicole Kidd</v>
      </c>
      <c r="D2" t="s">
        <v>37</v>
      </c>
      <c r="E2" s="3" t="str">
        <f>IF(LOWER(LEFT(D2,1)) = "f", "Female", "Male")</f>
        <v>Female</v>
      </c>
      <c r="F2" s="5">
        <v>52</v>
      </c>
      <c r="G2" t="s">
        <v>253</v>
      </c>
      <c r="H2" t="s">
        <v>254</v>
      </c>
      <c r="I2" t="s">
        <v>292</v>
      </c>
      <c r="J2" s="5">
        <v>11</v>
      </c>
      <c r="K2" s="3" t="str" cm="1">
        <f t="array" ref="K2">_xlfn.IFS(J2&lt;=5, "0-5", J2&lt;=10, "6-10", J2&lt;=15, "11-15", J2&lt;=20, "16-20", J2&gt;20, "21+")</f>
        <v>11-15</v>
      </c>
      <c r="L2">
        <v>100</v>
      </c>
      <c r="M2" s="4">
        <f>L2</f>
        <v>100</v>
      </c>
      <c r="N2" s="4">
        <f>IF(M2="","NA",ROUND(M2,0))</f>
        <v>100</v>
      </c>
      <c r="O2" s="4" t="b">
        <f>ISTEXT(#REF!)</f>
        <v>0</v>
      </c>
      <c r="P2">
        <v>0</v>
      </c>
      <c r="Q2" t="s">
        <v>54</v>
      </c>
      <c r="S2" s="7"/>
    </row>
    <row r="3" spans="1:19" ht="15" customHeight="1" x14ac:dyDescent="0.25">
      <c r="A3" t="s">
        <v>295</v>
      </c>
      <c r="B3" t="s">
        <v>296</v>
      </c>
      <c r="C3" t="str">
        <f>B3</f>
        <v>Vanessa Garcia</v>
      </c>
      <c r="D3" t="s">
        <v>21</v>
      </c>
      <c r="E3" s="3" t="str">
        <f t="shared" ref="E3:E66" si="0">IF(LOWER(LEFT(D3,1)) = "f", "Female", "Male")</f>
        <v>Female</v>
      </c>
      <c r="F3" s="5">
        <v>52</v>
      </c>
      <c r="G3" t="s">
        <v>38</v>
      </c>
      <c r="H3" t="s">
        <v>39</v>
      </c>
      <c r="I3" t="s">
        <v>285</v>
      </c>
      <c r="J3" s="5">
        <v>34</v>
      </c>
      <c r="K3" s="3" t="str" cm="1">
        <f t="array" ref="K3">_xlfn.IFS(J3&lt;=5, "0-5", J3&lt;=10, "6-10", J3&lt;=15, "11-15", J3&lt;=20, "16-20", J3&gt;20, "21+")</f>
        <v>21+</v>
      </c>
      <c r="L3" t="s">
        <v>40</v>
      </c>
      <c r="M3" s="4" t="str">
        <f>_xlfn.TEXTAFTER(L3, " ")</f>
        <v>100</v>
      </c>
      <c r="N3" s="4">
        <f t="shared" ref="N3:N66" si="1">IF(M3="","NA",ROUND(M3,0))</f>
        <v>100</v>
      </c>
      <c r="O3" s="4" t="b">
        <f>ISTEXT(#REF!)</f>
        <v>0</v>
      </c>
      <c r="P3">
        <v>1</v>
      </c>
      <c r="Q3" t="s">
        <v>28</v>
      </c>
      <c r="R3" s="1">
        <v>0.84</v>
      </c>
      <c r="S3" s="6">
        <f>R3</f>
        <v>0.84</v>
      </c>
    </row>
    <row r="4" spans="1:19" ht="15" customHeight="1" x14ac:dyDescent="0.25">
      <c r="A4" t="s">
        <v>297</v>
      </c>
      <c r="B4" t="s">
        <v>298</v>
      </c>
      <c r="C4" t="str">
        <f t="shared" ref="C4:C47" si="2">B4</f>
        <v>Juan Nelson</v>
      </c>
      <c r="D4" t="s">
        <v>31</v>
      </c>
      <c r="E4" s="3" t="str">
        <f t="shared" si="0"/>
        <v>Male</v>
      </c>
      <c r="F4" s="5">
        <v>53</v>
      </c>
      <c r="G4" t="s">
        <v>33</v>
      </c>
      <c r="H4" t="s">
        <v>34</v>
      </c>
      <c r="I4" t="s">
        <v>287</v>
      </c>
      <c r="J4" s="5">
        <v>31</v>
      </c>
      <c r="K4" s="3" t="str" cm="1">
        <f t="array" ref="K4">_xlfn.IFS(J4&lt;=5, "0-5", J4&lt;=10, "6-10", J4&lt;=15, "11-15", J4&lt;=20, "16-20", J4&gt;20, "21+")</f>
        <v>21+</v>
      </c>
      <c r="L4">
        <v>50</v>
      </c>
      <c r="M4" s="4">
        <f>L4</f>
        <v>50</v>
      </c>
      <c r="N4" s="4">
        <f t="shared" si="1"/>
        <v>50</v>
      </c>
      <c r="O4" s="5">
        <v>0</v>
      </c>
      <c r="P4" t="s">
        <v>64</v>
      </c>
      <c r="Q4" t="s">
        <v>54</v>
      </c>
      <c r="R4" s="1">
        <v>0.71</v>
      </c>
      <c r="S4" s="6">
        <f t="shared" ref="S4:S6" si="3">R4</f>
        <v>0.71</v>
      </c>
    </row>
    <row r="5" spans="1:19" ht="15" customHeight="1" x14ac:dyDescent="0.25">
      <c r="A5" t="s">
        <v>299</v>
      </c>
      <c r="B5" t="s">
        <v>300</v>
      </c>
      <c r="C5" t="str">
        <f t="shared" si="2"/>
        <v>Amanda Spencer</v>
      </c>
      <c r="D5" t="s">
        <v>301</v>
      </c>
      <c r="E5" s="3" t="str">
        <f t="shared" si="0"/>
        <v>Female</v>
      </c>
      <c r="F5" s="5">
        <v>38</v>
      </c>
      <c r="G5" t="s">
        <v>38</v>
      </c>
      <c r="H5" t="s">
        <v>39</v>
      </c>
      <c r="I5" t="s">
        <v>290</v>
      </c>
      <c r="J5" s="5">
        <v>4</v>
      </c>
      <c r="K5" s="3" t="str" cm="1">
        <f t="array" ref="K5">_xlfn.IFS(J5&lt;=5, "0-5", J5&lt;=10, "6-10", J5&lt;=15, "11-15", J5&lt;=20, "16-20", J5&gt;20, "21+")</f>
        <v>0-5</v>
      </c>
      <c r="L5" s="2">
        <v>40</v>
      </c>
      <c r="M5" s="4" t="str">
        <f>SUBSTITUTE(L5, "$","")</f>
        <v>40</v>
      </c>
      <c r="N5" s="4">
        <f t="shared" si="1"/>
        <v>40</v>
      </c>
      <c r="O5" s="5">
        <v>1.5</v>
      </c>
      <c r="P5" t="s">
        <v>64</v>
      </c>
      <c r="Q5" t="s">
        <v>54</v>
      </c>
      <c r="R5" s="1">
        <v>0.9</v>
      </c>
      <c r="S5" s="6">
        <f t="shared" si="3"/>
        <v>0.9</v>
      </c>
    </row>
    <row r="6" spans="1:19" ht="15" customHeight="1" x14ac:dyDescent="0.25">
      <c r="A6" t="s">
        <v>302</v>
      </c>
      <c r="B6" t="s">
        <v>303</v>
      </c>
      <c r="C6" t="str">
        <f t="shared" si="2"/>
        <v>Lynn Curtis DDS</v>
      </c>
      <c r="D6" t="s">
        <v>304</v>
      </c>
      <c r="E6" s="3" t="str">
        <f t="shared" si="0"/>
        <v>Female</v>
      </c>
      <c r="F6" s="5">
        <v>53</v>
      </c>
      <c r="G6" t="s">
        <v>33</v>
      </c>
      <c r="H6" t="s">
        <v>34</v>
      </c>
      <c r="I6" t="s">
        <v>290</v>
      </c>
      <c r="J6" s="5">
        <v>27</v>
      </c>
      <c r="K6" s="3" t="str" cm="1">
        <f t="array" ref="K6">_xlfn.IFS(J6&lt;=5, "0-5", J6&lt;=10, "6-10", J6&lt;=15, "11-15", J6&lt;=20, "16-20", J6&gt;20, "21+")</f>
        <v>21+</v>
      </c>
      <c r="L6">
        <v>30</v>
      </c>
      <c r="M6" s="4">
        <f>L6</f>
        <v>30</v>
      </c>
      <c r="N6" s="4">
        <f t="shared" si="1"/>
        <v>30</v>
      </c>
      <c r="O6" s="5">
        <v>4.8</v>
      </c>
      <c r="P6">
        <v>0</v>
      </c>
      <c r="Q6" t="s">
        <v>54</v>
      </c>
      <c r="R6" s="1">
        <v>0.83</v>
      </c>
      <c r="S6" s="6">
        <f t="shared" si="3"/>
        <v>0.83</v>
      </c>
    </row>
    <row r="7" spans="1:19" ht="15" customHeight="1" x14ac:dyDescent="0.25">
      <c r="A7" t="s">
        <v>50</v>
      </c>
      <c r="B7" t="s">
        <v>51</v>
      </c>
      <c r="C7" t="str">
        <f t="shared" si="2"/>
        <v>Lisa Johnson</v>
      </c>
      <c r="D7" t="s">
        <v>304</v>
      </c>
      <c r="E7" s="3" t="str">
        <f t="shared" si="0"/>
        <v>Female</v>
      </c>
      <c r="F7" s="5">
        <v>59</v>
      </c>
      <c r="G7" t="s">
        <v>52</v>
      </c>
      <c r="H7" t="s">
        <v>53</v>
      </c>
      <c r="I7" t="s">
        <v>25</v>
      </c>
      <c r="J7" s="5">
        <v>14</v>
      </c>
      <c r="K7" s="3" t="str" cm="1">
        <f t="array" ref="K7">_xlfn.IFS(J7&lt;=5, "0-5", J7&lt;=10, "6-10", J7&lt;=15, "11-15", J7&lt;=20, "16-20", J7&gt;20, "21+")</f>
        <v>11-15</v>
      </c>
      <c r="L7" s="2">
        <v>30</v>
      </c>
      <c r="M7" s="4" t="str">
        <f>SUBSTITUTE(L7, "$","")</f>
        <v>30</v>
      </c>
      <c r="N7" s="4">
        <f t="shared" si="1"/>
        <v>30</v>
      </c>
      <c r="O7" s="5">
        <v>2.4</v>
      </c>
      <c r="P7" t="b">
        <v>0</v>
      </c>
      <c r="Q7" t="s">
        <v>54</v>
      </c>
      <c r="S7" s="7"/>
    </row>
    <row r="8" spans="1:19" ht="15" customHeight="1" x14ac:dyDescent="0.25">
      <c r="A8" t="s">
        <v>305</v>
      </c>
      <c r="B8" t="s">
        <v>306</v>
      </c>
      <c r="C8" t="str">
        <f t="shared" si="2"/>
        <v>Eric Myers</v>
      </c>
      <c r="D8" t="s">
        <v>43</v>
      </c>
      <c r="E8" s="3" t="str">
        <f t="shared" si="0"/>
        <v>Male</v>
      </c>
      <c r="F8" s="5">
        <v>52</v>
      </c>
      <c r="G8" t="s">
        <v>104</v>
      </c>
      <c r="H8" t="s">
        <v>105</v>
      </c>
      <c r="I8" t="s">
        <v>291</v>
      </c>
      <c r="J8" s="5">
        <v>10</v>
      </c>
      <c r="K8" s="3" t="str" cm="1">
        <f t="array" ref="K8">_xlfn.IFS(J8&lt;=5, "0-5", J8&lt;=10, "6-10", J8&lt;=15, "11-15", J8&lt;=20, "16-20", J8&gt;20, "21+")</f>
        <v>6-10</v>
      </c>
      <c r="L8" t="s">
        <v>92</v>
      </c>
      <c r="M8" s="4" t="str">
        <f t="shared" ref="M8:M9" si="4">_xlfn.TEXTAFTER(L8, " ")</f>
        <v>75</v>
      </c>
      <c r="N8" s="4">
        <f t="shared" si="1"/>
        <v>75</v>
      </c>
      <c r="O8" s="5">
        <v>3.1</v>
      </c>
      <c r="P8">
        <v>0</v>
      </c>
      <c r="Q8" t="s">
        <v>54</v>
      </c>
      <c r="R8" s="1">
        <v>0.94</v>
      </c>
      <c r="S8" s="6">
        <f t="shared" ref="S8:S10" si="5">R8</f>
        <v>0.94</v>
      </c>
    </row>
    <row r="9" spans="1:19" ht="15" customHeight="1" x14ac:dyDescent="0.25">
      <c r="A9" t="s">
        <v>307</v>
      </c>
      <c r="B9" t="s">
        <v>308</v>
      </c>
      <c r="C9" t="str">
        <f t="shared" si="2"/>
        <v>Ricky Graham</v>
      </c>
      <c r="D9" t="s">
        <v>31</v>
      </c>
      <c r="E9" s="3" t="str">
        <f t="shared" si="0"/>
        <v>Male</v>
      </c>
      <c r="F9" s="5">
        <v>43</v>
      </c>
      <c r="G9" t="s">
        <v>253</v>
      </c>
      <c r="H9" t="s">
        <v>254</v>
      </c>
      <c r="I9" t="s">
        <v>292</v>
      </c>
      <c r="J9" s="5">
        <v>14</v>
      </c>
      <c r="K9" s="3" t="str" cm="1">
        <f t="array" ref="K9">_xlfn.IFS(J9&lt;=5, "0-5", J9&lt;=10, "6-10", J9&lt;=15, "11-15", J9&lt;=20, "16-20", J9&gt;20, "21+")</f>
        <v>11-15</v>
      </c>
      <c r="L9" t="s">
        <v>99</v>
      </c>
      <c r="M9" s="4" t="str">
        <f t="shared" si="4"/>
        <v>40</v>
      </c>
      <c r="N9" s="4">
        <f t="shared" si="1"/>
        <v>40</v>
      </c>
      <c r="O9" s="5">
        <v>4.5999999999999996</v>
      </c>
      <c r="P9" t="b">
        <v>0</v>
      </c>
      <c r="Q9" t="s">
        <v>54</v>
      </c>
      <c r="R9" s="1">
        <v>0.94</v>
      </c>
      <c r="S9" s="6">
        <f t="shared" si="5"/>
        <v>0.94</v>
      </c>
    </row>
    <row r="10" spans="1:19" ht="15" customHeight="1" x14ac:dyDescent="0.25">
      <c r="A10" t="s">
        <v>309</v>
      </c>
      <c r="B10" t="s">
        <v>310</v>
      </c>
      <c r="C10" t="str">
        <f t="shared" si="2"/>
        <v>Sean Martin</v>
      </c>
      <c r="D10" t="s">
        <v>31</v>
      </c>
      <c r="E10" s="3" t="str">
        <f t="shared" si="0"/>
        <v>Male</v>
      </c>
      <c r="F10" s="5">
        <v>26</v>
      </c>
      <c r="G10" t="s">
        <v>183</v>
      </c>
      <c r="H10" t="s">
        <v>39</v>
      </c>
      <c r="I10" t="s">
        <v>292</v>
      </c>
      <c r="J10" s="5">
        <v>4</v>
      </c>
      <c r="K10" s="3" t="str" cm="1">
        <f t="array" ref="K10">_xlfn.IFS(J10&lt;=5, "0-5", J10&lt;=10, "6-10", J10&lt;=15, "11-15", J10&lt;=20, "16-20", J10&gt;20, "21+")</f>
        <v>0-5</v>
      </c>
      <c r="N10" s="4" t="str">
        <f t="shared" si="1"/>
        <v>NA</v>
      </c>
      <c r="O10" s="5">
        <v>4</v>
      </c>
      <c r="P10" t="b">
        <v>1</v>
      </c>
      <c r="Q10" t="s">
        <v>28</v>
      </c>
      <c r="R10" s="1">
        <v>0.76</v>
      </c>
      <c r="S10" s="6">
        <f t="shared" si="5"/>
        <v>0.76</v>
      </c>
    </row>
    <row r="11" spans="1:19" ht="15" customHeight="1" x14ac:dyDescent="0.25">
      <c r="A11" t="s">
        <v>65</v>
      </c>
      <c r="B11" t="s">
        <v>66</v>
      </c>
      <c r="C11" t="str">
        <f t="shared" si="2"/>
        <v>Matthew Lloyd</v>
      </c>
      <c r="D11" t="s">
        <v>311</v>
      </c>
      <c r="E11" s="3" t="str">
        <f t="shared" si="0"/>
        <v>Male</v>
      </c>
      <c r="F11" s="5">
        <v>52</v>
      </c>
      <c r="G11" t="s">
        <v>67</v>
      </c>
      <c r="H11" t="s">
        <v>68</v>
      </c>
      <c r="I11" t="s">
        <v>25</v>
      </c>
      <c r="J11" s="5">
        <v>22</v>
      </c>
      <c r="K11" s="3" t="str" cm="1">
        <f t="array" ref="K11">_xlfn.IFS(J11&lt;=5, "0-5", J11&lt;=10, "6-10", J11&lt;=15, "11-15", J11&lt;=20, "16-20", J11&gt;20, "21+")</f>
        <v>21+</v>
      </c>
      <c r="L11" s="2">
        <v>50</v>
      </c>
      <c r="M11" s="4" t="str">
        <f>SUBSTITUTE(L11, "$","")</f>
        <v>50</v>
      </c>
      <c r="N11" s="4">
        <f t="shared" si="1"/>
        <v>50</v>
      </c>
      <c r="P11">
        <v>1</v>
      </c>
      <c r="Q11" t="s">
        <v>28</v>
      </c>
      <c r="S11" s="7"/>
    </row>
    <row r="12" spans="1:19" ht="15" customHeight="1" x14ac:dyDescent="0.25">
      <c r="A12" t="s">
        <v>312</v>
      </c>
      <c r="B12" t="s">
        <v>313</v>
      </c>
      <c r="C12" t="str">
        <f t="shared" si="2"/>
        <v>Gavin Randall</v>
      </c>
      <c r="D12" t="s">
        <v>43</v>
      </c>
      <c r="E12" s="3" t="str">
        <f t="shared" si="0"/>
        <v>Male</v>
      </c>
      <c r="F12" s="5">
        <v>40</v>
      </c>
      <c r="G12" t="s">
        <v>152</v>
      </c>
      <c r="H12" t="s">
        <v>39</v>
      </c>
      <c r="I12" t="s">
        <v>291</v>
      </c>
      <c r="J12" s="5">
        <v>17</v>
      </c>
      <c r="K12" s="3" t="str" cm="1">
        <f t="array" ref="K12">_xlfn.IFS(J12&lt;=5, "0-5", J12&lt;=10, "6-10", J12&lt;=15, "11-15", J12&lt;=20, "16-20", J12&gt;20, "21+")</f>
        <v>16-20</v>
      </c>
      <c r="L12">
        <v>40</v>
      </c>
      <c r="M12" s="4">
        <f>L12</f>
        <v>40</v>
      </c>
      <c r="N12" s="4">
        <f t="shared" si="1"/>
        <v>40</v>
      </c>
      <c r="O12" s="5">
        <v>3.6</v>
      </c>
      <c r="P12" t="s">
        <v>27</v>
      </c>
      <c r="Q12" t="s">
        <v>28</v>
      </c>
      <c r="R12" s="1">
        <v>0.77</v>
      </c>
      <c r="S12" s="6">
        <f t="shared" ref="S12:S23" si="6">R12</f>
        <v>0.77</v>
      </c>
    </row>
    <row r="13" spans="1:19" ht="15" customHeight="1" x14ac:dyDescent="0.25">
      <c r="A13" t="s">
        <v>314</v>
      </c>
      <c r="B13" t="s">
        <v>315</v>
      </c>
      <c r="C13" t="str">
        <f t="shared" si="2"/>
        <v>Michelle Curtis</v>
      </c>
      <c r="D13" t="s">
        <v>21</v>
      </c>
      <c r="E13" s="3" t="str">
        <f t="shared" si="0"/>
        <v>Female</v>
      </c>
      <c r="F13" s="5">
        <v>55</v>
      </c>
      <c r="G13" t="s">
        <v>23</v>
      </c>
      <c r="H13" t="s">
        <v>24</v>
      </c>
      <c r="I13" t="s">
        <v>286</v>
      </c>
      <c r="J13" s="5">
        <v>15</v>
      </c>
      <c r="K13" s="3" t="str" cm="1">
        <f t="array" ref="K13">_xlfn.IFS(J13&lt;=5, "0-5", J13&lt;=10, "6-10", J13&lt;=15, "11-15", J13&lt;=20, "16-20", J13&gt;20, "21+")</f>
        <v>11-15</v>
      </c>
      <c r="N13" s="4" t="str">
        <f t="shared" si="1"/>
        <v>NA</v>
      </c>
      <c r="P13" t="s">
        <v>57</v>
      </c>
      <c r="Q13" t="s">
        <v>28</v>
      </c>
      <c r="R13" s="1">
        <v>0.86</v>
      </c>
      <c r="S13" s="6">
        <f t="shared" si="6"/>
        <v>0.86</v>
      </c>
    </row>
    <row r="14" spans="1:19" ht="15" customHeight="1" x14ac:dyDescent="0.25">
      <c r="A14" t="s">
        <v>316</v>
      </c>
      <c r="B14" t="s">
        <v>317</v>
      </c>
      <c r="C14" t="str">
        <f t="shared" si="2"/>
        <v>Alice Schneider</v>
      </c>
      <c r="D14" t="s">
        <v>22</v>
      </c>
      <c r="E14" s="3" t="str">
        <f t="shared" si="0"/>
        <v>Female</v>
      </c>
      <c r="F14" s="5">
        <v>57</v>
      </c>
      <c r="G14" t="s">
        <v>152</v>
      </c>
      <c r="H14" t="s">
        <v>39</v>
      </c>
      <c r="I14" t="s">
        <v>288</v>
      </c>
      <c r="J14" s="5">
        <v>18</v>
      </c>
      <c r="K14" s="3" t="str" cm="1">
        <f t="array" ref="K14">_xlfn.IFS(J14&lt;=5, "0-5", J14&lt;=10, "6-10", J14&lt;=15, "11-15", J14&lt;=20, "16-20", J14&gt;20, "21+")</f>
        <v>16-20</v>
      </c>
      <c r="N14" s="4" t="str">
        <f t="shared" si="1"/>
        <v>NA</v>
      </c>
      <c r="O14" s="5">
        <v>2</v>
      </c>
      <c r="P14">
        <v>0</v>
      </c>
      <c r="Q14" t="s">
        <v>54</v>
      </c>
      <c r="R14" s="1">
        <v>0.86</v>
      </c>
      <c r="S14" s="6">
        <f t="shared" si="6"/>
        <v>0.86</v>
      </c>
    </row>
    <row r="15" spans="1:19" ht="15" customHeight="1" x14ac:dyDescent="0.25">
      <c r="A15" t="s">
        <v>318</v>
      </c>
      <c r="B15" t="s">
        <v>319</v>
      </c>
      <c r="C15" t="str">
        <f t="shared" si="2"/>
        <v>Phillip Shelton</v>
      </c>
      <c r="D15" t="s">
        <v>311</v>
      </c>
      <c r="E15" s="3" t="str">
        <f t="shared" si="0"/>
        <v>Male</v>
      </c>
      <c r="F15" s="5">
        <v>38</v>
      </c>
      <c r="G15" t="s">
        <v>23</v>
      </c>
      <c r="H15" t="s">
        <v>24</v>
      </c>
      <c r="I15" t="s">
        <v>287</v>
      </c>
      <c r="J15" s="5">
        <v>20</v>
      </c>
      <c r="K15" s="3" t="str" cm="1">
        <f t="array" ref="K15">_xlfn.IFS(J15&lt;=5, "0-5", J15&lt;=10, "6-10", J15&lt;=15, "11-15", J15&lt;=20, "16-20", J15&gt;20, "21+")</f>
        <v>16-20</v>
      </c>
      <c r="L15" t="s">
        <v>92</v>
      </c>
      <c r="M15" s="4" t="str">
        <f>_xlfn.TEXTAFTER(L15, " ")</f>
        <v>75</v>
      </c>
      <c r="N15" s="4">
        <f t="shared" si="1"/>
        <v>75</v>
      </c>
      <c r="O15" s="5">
        <v>2.9</v>
      </c>
      <c r="P15">
        <v>1</v>
      </c>
      <c r="Q15" t="s">
        <v>28</v>
      </c>
      <c r="R15" s="1">
        <v>0.93</v>
      </c>
      <c r="S15" s="6">
        <f t="shared" si="6"/>
        <v>0.93</v>
      </c>
    </row>
    <row r="16" spans="1:19" ht="15" customHeight="1" x14ac:dyDescent="0.25">
      <c r="A16" t="s">
        <v>320</v>
      </c>
      <c r="B16" t="s">
        <v>321</v>
      </c>
      <c r="C16" t="str">
        <f t="shared" si="2"/>
        <v>Edward Ferguson</v>
      </c>
      <c r="D16" t="s">
        <v>311</v>
      </c>
      <c r="E16" s="3" t="str">
        <f t="shared" si="0"/>
        <v>Male</v>
      </c>
      <c r="F16" s="5">
        <v>50</v>
      </c>
      <c r="G16" t="s">
        <v>33</v>
      </c>
      <c r="H16" t="s">
        <v>34</v>
      </c>
      <c r="I16" t="s">
        <v>291</v>
      </c>
      <c r="J16" s="5">
        <v>22</v>
      </c>
      <c r="K16" s="3" t="str" cm="1">
        <f t="array" ref="K16">_xlfn.IFS(J16&lt;=5, "0-5", J16&lt;=10, "6-10", J16&lt;=15, "11-15", J16&lt;=20, "16-20", J16&gt;20, "21+")</f>
        <v>21+</v>
      </c>
      <c r="L16">
        <v>75</v>
      </c>
      <c r="M16" s="4">
        <f>L16</f>
        <v>75</v>
      </c>
      <c r="N16" s="4">
        <f t="shared" si="1"/>
        <v>75</v>
      </c>
      <c r="O16" s="5">
        <v>3.7</v>
      </c>
      <c r="P16">
        <v>1</v>
      </c>
      <c r="Q16" t="s">
        <v>28</v>
      </c>
      <c r="R16" s="1">
        <v>0.7</v>
      </c>
      <c r="S16" s="6">
        <f t="shared" si="6"/>
        <v>0.7</v>
      </c>
    </row>
    <row r="17" spans="1:19" ht="15" customHeight="1" x14ac:dyDescent="0.25">
      <c r="A17" t="s">
        <v>322</v>
      </c>
      <c r="B17" t="s">
        <v>323</v>
      </c>
      <c r="C17" t="str">
        <f t="shared" si="2"/>
        <v>Wyatt Stout</v>
      </c>
      <c r="D17" t="s">
        <v>43</v>
      </c>
      <c r="E17" s="3" t="str">
        <f t="shared" si="0"/>
        <v>Male</v>
      </c>
      <c r="F17" s="5">
        <v>42</v>
      </c>
      <c r="G17" t="s">
        <v>88</v>
      </c>
      <c r="H17" t="s">
        <v>89</v>
      </c>
      <c r="I17" t="s">
        <v>291</v>
      </c>
      <c r="J17" s="5">
        <v>0</v>
      </c>
      <c r="K17" s="3" t="str" cm="1">
        <f t="array" ref="K17">_xlfn.IFS(J17&lt;=5, "0-5", J17&lt;=10, "6-10", J17&lt;=15, "11-15", J17&lt;=20, "16-20", J17&gt;20, "21+")</f>
        <v>0-5</v>
      </c>
      <c r="L17" s="2">
        <v>30</v>
      </c>
      <c r="M17" s="4" t="str">
        <f t="shared" ref="M17:M18" si="7">SUBSTITUTE(L17, "$","")</f>
        <v>30</v>
      </c>
      <c r="N17" s="4">
        <f t="shared" si="1"/>
        <v>30</v>
      </c>
      <c r="O17" s="5">
        <v>1.2</v>
      </c>
      <c r="P17">
        <v>0</v>
      </c>
      <c r="Q17" t="s">
        <v>54</v>
      </c>
      <c r="R17" s="1">
        <v>0.69</v>
      </c>
      <c r="S17" s="6">
        <f t="shared" si="6"/>
        <v>0.69</v>
      </c>
    </row>
    <row r="18" spans="1:19" ht="15" customHeight="1" x14ac:dyDescent="0.25">
      <c r="A18" t="s">
        <v>324</v>
      </c>
      <c r="B18" t="s">
        <v>325</v>
      </c>
      <c r="C18" t="str">
        <f t="shared" si="2"/>
        <v>Laura Johnson</v>
      </c>
      <c r="D18" t="s">
        <v>22</v>
      </c>
      <c r="E18" s="3" t="str">
        <f t="shared" si="0"/>
        <v>Female</v>
      </c>
      <c r="F18" s="5">
        <v>39</v>
      </c>
      <c r="G18" t="s">
        <v>38</v>
      </c>
      <c r="H18" t="s">
        <v>39</v>
      </c>
      <c r="I18" t="s">
        <v>283</v>
      </c>
      <c r="J18" s="5">
        <v>13</v>
      </c>
      <c r="K18" s="3" t="str" cm="1">
        <f t="array" ref="K18">_xlfn.IFS(J18&lt;=5, "0-5", J18&lt;=10, "6-10", J18&lt;=15, "11-15", J18&lt;=20, "16-20", J18&gt;20, "21+")</f>
        <v>11-15</v>
      </c>
      <c r="L18" s="2">
        <v>30</v>
      </c>
      <c r="M18" s="4" t="str">
        <f t="shared" si="7"/>
        <v>30</v>
      </c>
      <c r="N18" s="4">
        <f t="shared" si="1"/>
        <v>30</v>
      </c>
      <c r="O18" s="5">
        <v>2.5</v>
      </c>
      <c r="P18" t="b">
        <v>0</v>
      </c>
      <c r="Q18" t="s">
        <v>54</v>
      </c>
      <c r="R18" s="1">
        <v>0.6</v>
      </c>
      <c r="S18" s="6">
        <f t="shared" si="6"/>
        <v>0.6</v>
      </c>
    </row>
    <row r="19" spans="1:19" ht="15" customHeight="1" x14ac:dyDescent="0.25">
      <c r="A19" t="s">
        <v>326</v>
      </c>
      <c r="B19" t="s">
        <v>327</v>
      </c>
      <c r="C19" t="str">
        <f t="shared" si="2"/>
        <v>Scott Burns</v>
      </c>
      <c r="D19" t="s">
        <v>328</v>
      </c>
      <c r="E19" s="3" t="str">
        <f t="shared" si="0"/>
        <v>Male</v>
      </c>
      <c r="F19" s="5">
        <v>56</v>
      </c>
      <c r="G19" t="s">
        <v>146</v>
      </c>
      <c r="H19" t="s">
        <v>147</v>
      </c>
      <c r="I19" t="s">
        <v>292</v>
      </c>
      <c r="K19" s="3" t="str" cm="1">
        <f t="array" ref="K19">_xlfn.IFS(J19&lt;=5, "0-5", J19&lt;=10, "6-10", J19&lt;=15, "11-15", J19&lt;=20, "16-20", J19&gt;20, "21+")</f>
        <v>0-5</v>
      </c>
      <c r="N19" s="4" t="str">
        <f t="shared" si="1"/>
        <v>NA</v>
      </c>
      <c r="R19" s="1">
        <v>0.87</v>
      </c>
      <c r="S19" s="6">
        <f t="shared" si="6"/>
        <v>0.87</v>
      </c>
    </row>
    <row r="20" spans="1:19" ht="15" customHeight="1" x14ac:dyDescent="0.25">
      <c r="A20" t="s">
        <v>329</v>
      </c>
      <c r="B20" t="s">
        <v>330</v>
      </c>
      <c r="C20" t="str">
        <f t="shared" si="2"/>
        <v>Tyler Aguirre</v>
      </c>
      <c r="D20" t="s">
        <v>32</v>
      </c>
      <c r="E20" s="3" t="str">
        <f t="shared" si="0"/>
        <v>Male</v>
      </c>
      <c r="F20" s="5">
        <v>56</v>
      </c>
      <c r="G20" t="s">
        <v>183</v>
      </c>
      <c r="H20" t="s">
        <v>39</v>
      </c>
      <c r="I20" t="s">
        <v>286</v>
      </c>
      <c r="J20" s="5">
        <v>31</v>
      </c>
      <c r="K20" s="3" t="str" cm="1">
        <f t="array" ref="K20">_xlfn.IFS(J20&lt;=5, "0-5", J20&lt;=10, "6-10", J20&lt;=15, "11-15", J20&lt;=20, "16-20", J20&gt;20, "21+")</f>
        <v>21+</v>
      </c>
      <c r="L20" t="s">
        <v>112</v>
      </c>
      <c r="M20" s="4" t="str">
        <f t="shared" ref="M20:M21" si="8">_xlfn.TEXTAFTER(L20, " ")</f>
        <v>50</v>
      </c>
      <c r="N20" s="4">
        <f t="shared" si="1"/>
        <v>50</v>
      </c>
      <c r="O20" s="5">
        <v>1.1000000000000001</v>
      </c>
      <c r="P20" t="s">
        <v>64</v>
      </c>
      <c r="Q20" t="s">
        <v>54</v>
      </c>
      <c r="R20" s="1">
        <v>0.75</v>
      </c>
      <c r="S20" s="6">
        <f t="shared" si="6"/>
        <v>0.75</v>
      </c>
    </row>
    <row r="21" spans="1:19" ht="15" customHeight="1" x14ac:dyDescent="0.25">
      <c r="A21" t="s">
        <v>331</v>
      </c>
      <c r="B21" t="s">
        <v>332</v>
      </c>
      <c r="C21" t="str">
        <f t="shared" si="2"/>
        <v>Matthew Lawson</v>
      </c>
      <c r="D21" t="s">
        <v>32</v>
      </c>
      <c r="E21" s="3" t="str">
        <f t="shared" si="0"/>
        <v>Male</v>
      </c>
      <c r="F21" s="5">
        <v>57</v>
      </c>
      <c r="G21" t="s">
        <v>253</v>
      </c>
      <c r="H21" t="s">
        <v>254</v>
      </c>
      <c r="I21" t="s">
        <v>290</v>
      </c>
      <c r="J21" s="5">
        <v>3</v>
      </c>
      <c r="K21" s="3" t="str" cm="1">
        <f t="array" ref="K21">_xlfn.IFS(J21&lt;=5, "0-5", J21&lt;=10, "6-10", J21&lt;=15, "11-15", J21&lt;=20, "16-20", J21&gt;20, "21+")</f>
        <v>0-5</v>
      </c>
      <c r="L21" t="s">
        <v>40</v>
      </c>
      <c r="M21" s="4" t="str">
        <f t="shared" si="8"/>
        <v>100</v>
      </c>
      <c r="N21" s="4">
        <f t="shared" si="1"/>
        <v>100</v>
      </c>
      <c r="O21" s="5">
        <v>1.8</v>
      </c>
      <c r="P21" t="s">
        <v>27</v>
      </c>
      <c r="Q21" t="s">
        <v>28</v>
      </c>
      <c r="R21" s="1">
        <v>0.68</v>
      </c>
      <c r="S21" s="6">
        <f t="shared" si="6"/>
        <v>0.68</v>
      </c>
    </row>
    <row r="22" spans="1:19" ht="13.5" x14ac:dyDescent="0.25">
      <c r="A22" t="s">
        <v>102</v>
      </c>
      <c r="B22" t="s">
        <v>103</v>
      </c>
      <c r="C22" t="str">
        <f t="shared" si="2"/>
        <v>James Cherry</v>
      </c>
      <c r="D22" t="s">
        <v>32</v>
      </c>
      <c r="E22" s="3" t="str">
        <f t="shared" si="0"/>
        <v>Male</v>
      </c>
      <c r="G22" t="s">
        <v>104</v>
      </c>
      <c r="H22" t="s">
        <v>105</v>
      </c>
      <c r="I22" t="s">
        <v>25</v>
      </c>
      <c r="J22" s="5">
        <v>9</v>
      </c>
      <c r="K22" s="3" t="str" cm="1">
        <f t="array" ref="K22">_xlfn.IFS(J22&lt;=5, "0-5", J22&lt;=10, "6-10", J22&lt;=15, "11-15", J22&lt;=20, "16-20", J22&gt;20, "21+")</f>
        <v>6-10</v>
      </c>
      <c r="L22">
        <v>50</v>
      </c>
      <c r="M22" s="4">
        <f>L22</f>
        <v>50</v>
      </c>
      <c r="N22" s="4">
        <f t="shared" si="1"/>
        <v>50</v>
      </c>
      <c r="O22" s="5">
        <v>1.8</v>
      </c>
      <c r="P22" t="b">
        <v>0</v>
      </c>
      <c r="Q22" t="s">
        <v>54</v>
      </c>
      <c r="R22" s="1">
        <v>0.65</v>
      </c>
      <c r="S22" s="6">
        <f t="shared" si="6"/>
        <v>0.65</v>
      </c>
    </row>
    <row r="23" spans="1:19" ht="13.5" x14ac:dyDescent="0.25">
      <c r="A23" t="s">
        <v>333</v>
      </c>
      <c r="B23" t="s">
        <v>334</v>
      </c>
      <c r="C23" t="str">
        <f t="shared" si="2"/>
        <v>Samuel Sanford</v>
      </c>
      <c r="D23" t="s">
        <v>43</v>
      </c>
      <c r="E23" s="3" t="str">
        <f t="shared" si="0"/>
        <v>Male</v>
      </c>
      <c r="F23" s="5">
        <v>51</v>
      </c>
      <c r="G23" t="s">
        <v>88</v>
      </c>
      <c r="H23" t="s">
        <v>89</v>
      </c>
      <c r="I23" t="s">
        <v>283</v>
      </c>
      <c r="K23" s="3" t="str" cm="1">
        <f t="array" ref="K23">_xlfn.IFS(J23&lt;=5, "0-5", J23&lt;=10, "6-10", J23&lt;=15, "11-15", J23&lt;=20, "16-20", J23&gt;20, "21+")</f>
        <v>0-5</v>
      </c>
      <c r="N23" s="4" t="str">
        <f t="shared" si="1"/>
        <v>NA</v>
      </c>
      <c r="O23" s="5">
        <v>2.4</v>
      </c>
      <c r="P23" t="s">
        <v>64</v>
      </c>
      <c r="Q23" t="s">
        <v>54</v>
      </c>
      <c r="R23" s="1">
        <v>0.69</v>
      </c>
      <c r="S23" s="6">
        <f t="shared" si="6"/>
        <v>0.69</v>
      </c>
    </row>
    <row r="24" spans="1:19" ht="13.5" x14ac:dyDescent="0.25">
      <c r="A24" t="s">
        <v>335</v>
      </c>
      <c r="B24" t="s">
        <v>336</v>
      </c>
      <c r="C24" t="str">
        <f t="shared" si="2"/>
        <v>Cesar Greene</v>
      </c>
      <c r="D24" t="s">
        <v>43</v>
      </c>
      <c r="E24" s="3" t="str">
        <f t="shared" si="0"/>
        <v>Male</v>
      </c>
      <c r="F24" s="5">
        <v>51</v>
      </c>
      <c r="G24" t="s">
        <v>47</v>
      </c>
      <c r="H24" t="s">
        <v>48</v>
      </c>
      <c r="I24" t="s">
        <v>288</v>
      </c>
      <c r="J24" s="5">
        <v>21</v>
      </c>
      <c r="K24" s="3" t="str" cm="1">
        <f t="array" ref="K24">_xlfn.IFS(J24&lt;=5, "0-5", J24&lt;=10, "6-10", J24&lt;=15, "11-15", J24&lt;=20, "16-20", J24&gt;20, "21+")</f>
        <v>21+</v>
      </c>
      <c r="L24" t="s">
        <v>72</v>
      </c>
      <c r="M24" s="4" t="str">
        <f t="shared" ref="M24" si="9">_xlfn.TEXTAFTER(L24, " ")</f>
        <v>30</v>
      </c>
      <c r="N24" s="4">
        <f t="shared" si="1"/>
        <v>30</v>
      </c>
      <c r="O24" s="5">
        <v>4.7</v>
      </c>
      <c r="P24" t="s">
        <v>64</v>
      </c>
      <c r="Q24" t="s">
        <v>54</v>
      </c>
      <c r="S24" s="7"/>
    </row>
    <row r="25" spans="1:19" ht="13.5" x14ac:dyDescent="0.25">
      <c r="A25" t="s">
        <v>337</v>
      </c>
      <c r="B25" t="s">
        <v>338</v>
      </c>
      <c r="C25" t="str">
        <f t="shared" si="2"/>
        <v>Melanie Carter</v>
      </c>
      <c r="D25" t="s">
        <v>304</v>
      </c>
      <c r="E25" s="3" t="str">
        <f t="shared" si="0"/>
        <v>Female</v>
      </c>
      <c r="F25" s="5">
        <v>51</v>
      </c>
      <c r="G25" t="s">
        <v>62</v>
      </c>
      <c r="H25" t="s">
        <v>63</v>
      </c>
      <c r="I25" t="s">
        <v>284</v>
      </c>
      <c r="J25" s="5">
        <v>15</v>
      </c>
      <c r="K25" s="3" t="str" cm="1">
        <f t="array" ref="K25">_xlfn.IFS(J25&lt;=5, "0-5", J25&lt;=10, "6-10", J25&lt;=15, "11-15", J25&lt;=20, "16-20", J25&gt;20, "21+")</f>
        <v>11-15</v>
      </c>
      <c r="L25" s="2">
        <v>50</v>
      </c>
      <c r="M25" s="4" t="str">
        <f>SUBSTITUTE(L25, "$","")</f>
        <v>50</v>
      </c>
      <c r="N25" s="4">
        <f t="shared" si="1"/>
        <v>50</v>
      </c>
      <c r="O25" s="5">
        <v>1.3</v>
      </c>
      <c r="P25">
        <v>1</v>
      </c>
      <c r="Q25" t="s">
        <v>28</v>
      </c>
      <c r="R25" s="1">
        <v>1</v>
      </c>
      <c r="S25" s="6">
        <f>R25</f>
        <v>1</v>
      </c>
    </row>
    <row r="26" spans="1:19" ht="13.5" x14ac:dyDescent="0.25">
      <c r="A26" t="s">
        <v>339</v>
      </c>
      <c r="B26" t="s">
        <v>340</v>
      </c>
      <c r="C26" t="str">
        <f t="shared" si="2"/>
        <v>Jennifer Martin</v>
      </c>
      <c r="D26" t="s">
        <v>37</v>
      </c>
      <c r="E26" s="3" t="str">
        <f t="shared" si="0"/>
        <v>Female</v>
      </c>
      <c r="F26" s="5">
        <v>54</v>
      </c>
      <c r="G26" t="s">
        <v>104</v>
      </c>
      <c r="H26" t="s">
        <v>105</v>
      </c>
      <c r="I26" t="s">
        <v>284</v>
      </c>
      <c r="J26" s="5">
        <v>13</v>
      </c>
      <c r="K26" s="3" t="str" cm="1">
        <f t="array" ref="K26">_xlfn.IFS(J26&lt;=5, "0-5", J26&lt;=10, "6-10", J26&lt;=15, "11-15", J26&lt;=20, "16-20", J26&gt;20, "21+")</f>
        <v>11-15</v>
      </c>
      <c r="L26">
        <v>75</v>
      </c>
      <c r="M26" s="4">
        <f>L26</f>
        <v>75</v>
      </c>
      <c r="N26" s="4">
        <f t="shared" si="1"/>
        <v>75</v>
      </c>
      <c r="O26" s="5">
        <v>2.9</v>
      </c>
      <c r="R26">
        <v>92</v>
      </c>
      <c r="S26" s="6">
        <f>R26/100</f>
        <v>0.92</v>
      </c>
    </row>
    <row r="27" spans="1:19" ht="13.5" x14ac:dyDescent="0.25">
      <c r="A27" t="s">
        <v>341</v>
      </c>
      <c r="B27" t="s">
        <v>342</v>
      </c>
      <c r="C27" t="str">
        <f t="shared" si="2"/>
        <v>Anna Mccann</v>
      </c>
      <c r="D27" t="s">
        <v>21</v>
      </c>
      <c r="E27" s="3" t="str">
        <f t="shared" si="0"/>
        <v>Female</v>
      </c>
      <c r="F27" s="5">
        <v>22</v>
      </c>
      <c r="G27" t="s">
        <v>62</v>
      </c>
      <c r="H27" t="s">
        <v>63</v>
      </c>
      <c r="I27" t="s">
        <v>283</v>
      </c>
      <c r="J27" s="5">
        <v>0</v>
      </c>
      <c r="K27" s="3" t="str" cm="1">
        <f t="array" ref="K27">_xlfn.IFS(J27&lt;=5, "0-5", J27&lt;=10, "6-10", J27&lt;=15, "11-15", J27&lt;=20, "16-20", J27&gt;20, "21+")</f>
        <v>0-5</v>
      </c>
      <c r="L27" t="s">
        <v>72</v>
      </c>
      <c r="M27" s="4" t="str">
        <f t="shared" ref="M27" si="10">_xlfn.TEXTAFTER(L27, " ")</f>
        <v>30</v>
      </c>
      <c r="N27" s="4">
        <f t="shared" si="1"/>
        <v>30</v>
      </c>
      <c r="O27" s="5">
        <v>1.2</v>
      </c>
      <c r="P27">
        <v>1</v>
      </c>
      <c r="Q27" t="s">
        <v>28</v>
      </c>
      <c r="R27" s="1">
        <v>0.7</v>
      </c>
      <c r="S27" s="6">
        <f t="shared" ref="S27:S30" si="11">R27</f>
        <v>0.7</v>
      </c>
    </row>
    <row r="28" spans="1:19" ht="13.5" x14ac:dyDescent="0.25">
      <c r="A28" t="s">
        <v>343</v>
      </c>
      <c r="B28" t="s">
        <v>344</v>
      </c>
      <c r="C28" t="str">
        <f t="shared" si="2"/>
        <v>Marissa Bass</v>
      </c>
      <c r="D28" t="s">
        <v>304</v>
      </c>
      <c r="E28" s="3" t="str">
        <f t="shared" si="0"/>
        <v>Female</v>
      </c>
      <c r="F28" s="5">
        <v>34</v>
      </c>
      <c r="G28" t="s">
        <v>88</v>
      </c>
      <c r="H28" t="s">
        <v>89</v>
      </c>
      <c r="I28" t="s">
        <v>292</v>
      </c>
      <c r="J28" s="5">
        <v>8</v>
      </c>
      <c r="K28" s="3" t="str" cm="1">
        <f t="array" ref="K28">_xlfn.IFS(J28&lt;=5, "0-5", J28&lt;=10, "6-10", J28&lt;=15, "11-15", J28&lt;=20, "16-20", J28&gt;20, "21+")</f>
        <v>6-10</v>
      </c>
      <c r="L28" s="2">
        <v>20</v>
      </c>
      <c r="M28" s="4" t="str">
        <f>SUBSTITUTE(L28, "$","")</f>
        <v>20</v>
      </c>
      <c r="N28" s="4">
        <f t="shared" si="1"/>
        <v>20</v>
      </c>
      <c r="O28" s="5">
        <v>0</v>
      </c>
      <c r="P28" t="b">
        <v>1</v>
      </c>
      <c r="Q28" t="s">
        <v>28</v>
      </c>
      <c r="R28" s="1">
        <v>0.89</v>
      </c>
      <c r="S28" s="6">
        <f t="shared" si="11"/>
        <v>0.89</v>
      </c>
    </row>
    <row r="29" spans="1:19" ht="13.5" x14ac:dyDescent="0.25">
      <c r="A29" t="s">
        <v>345</v>
      </c>
      <c r="B29" t="s">
        <v>346</v>
      </c>
      <c r="C29" t="str">
        <f t="shared" si="2"/>
        <v>Alexis Day</v>
      </c>
      <c r="D29" t="s">
        <v>22</v>
      </c>
      <c r="E29" s="3" t="str">
        <f t="shared" si="0"/>
        <v>Female</v>
      </c>
      <c r="F29" s="5">
        <v>36</v>
      </c>
      <c r="G29" t="s">
        <v>95</v>
      </c>
      <c r="H29" t="s">
        <v>96</v>
      </c>
      <c r="I29" t="s">
        <v>287</v>
      </c>
      <c r="J29" s="5">
        <v>11</v>
      </c>
      <c r="K29" s="3" t="str" cm="1">
        <f t="array" ref="K29">_xlfn.IFS(J29&lt;=5, "0-5", J29&lt;=10, "6-10", J29&lt;=15, "11-15", J29&lt;=20, "16-20", J29&gt;20, "21+")</f>
        <v>11-15</v>
      </c>
      <c r="N29" s="4" t="str">
        <f t="shared" si="1"/>
        <v>NA</v>
      </c>
      <c r="O29" s="5">
        <v>1.8</v>
      </c>
      <c r="P29" t="s">
        <v>57</v>
      </c>
      <c r="Q29" t="s">
        <v>28</v>
      </c>
      <c r="R29" s="1">
        <v>0.86</v>
      </c>
      <c r="S29" s="6">
        <f t="shared" si="11"/>
        <v>0.86</v>
      </c>
    </row>
    <row r="30" spans="1:19" ht="13.5" x14ac:dyDescent="0.25">
      <c r="A30" t="s">
        <v>123</v>
      </c>
      <c r="B30" t="s">
        <v>124</v>
      </c>
      <c r="C30" t="str">
        <f t="shared" si="2"/>
        <v>Megan Jones</v>
      </c>
      <c r="D30" t="s">
        <v>304</v>
      </c>
      <c r="E30" s="3" t="str">
        <f t="shared" si="0"/>
        <v>Female</v>
      </c>
      <c r="F30" s="5">
        <v>47</v>
      </c>
      <c r="G30" t="s">
        <v>125</v>
      </c>
      <c r="H30" t="s">
        <v>39</v>
      </c>
      <c r="I30" t="s">
        <v>25</v>
      </c>
      <c r="J30" s="5">
        <v>22</v>
      </c>
      <c r="K30" s="3" t="str" cm="1">
        <f t="array" ref="K30">_xlfn.IFS(J30&lt;=5, "0-5", J30&lt;=10, "6-10", J30&lt;=15, "11-15", J30&lt;=20, "16-20", J30&gt;20, "21+")</f>
        <v>21+</v>
      </c>
      <c r="L30">
        <v>30</v>
      </c>
      <c r="M30" s="4">
        <f>L30</f>
        <v>30</v>
      </c>
      <c r="N30" s="4">
        <f t="shared" si="1"/>
        <v>30</v>
      </c>
      <c r="O30" s="5">
        <v>1.3</v>
      </c>
      <c r="P30">
        <v>0</v>
      </c>
      <c r="Q30" t="s">
        <v>54</v>
      </c>
      <c r="R30" s="1">
        <v>0.62</v>
      </c>
      <c r="S30" s="6">
        <f t="shared" si="11"/>
        <v>0.62</v>
      </c>
    </row>
    <row r="31" spans="1:19" ht="13.5" x14ac:dyDescent="0.25">
      <c r="A31" t="s">
        <v>347</v>
      </c>
      <c r="B31" t="s">
        <v>348</v>
      </c>
      <c r="C31" t="str">
        <f t="shared" si="2"/>
        <v>Lori Smith</v>
      </c>
      <c r="D31" t="s">
        <v>21</v>
      </c>
      <c r="E31" s="3" t="str">
        <f t="shared" si="0"/>
        <v>Female</v>
      </c>
      <c r="F31" s="5">
        <v>41</v>
      </c>
      <c r="G31" t="s">
        <v>52</v>
      </c>
      <c r="H31" t="s">
        <v>53</v>
      </c>
      <c r="I31" t="s">
        <v>291</v>
      </c>
      <c r="J31" s="5">
        <v>14</v>
      </c>
      <c r="K31" s="3" t="str" cm="1">
        <f t="array" ref="K31">_xlfn.IFS(J31&lt;=5, "0-5", J31&lt;=10, "6-10", J31&lt;=15, "11-15", J31&lt;=20, "16-20", J31&gt;20, "21+")</f>
        <v>11-15</v>
      </c>
      <c r="L31" t="s">
        <v>92</v>
      </c>
      <c r="M31" s="4" t="str">
        <f t="shared" ref="M31" si="12">_xlfn.TEXTAFTER(L31, " ")</f>
        <v>75</v>
      </c>
      <c r="N31" s="4">
        <f t="shared" si="1"/>
        <v>75</v>
      </c>
      <c r="O31" s="5">
        <v>1.2</v>
      </c>
      <c r="P31">
        <v>0</v>
      </c>
      <c r="Q31" t="s">
        <v>54</v>
      </c>
      <c r="S31" s="7"/>
    </row>
    <row r="32" spans="1:19" ht="13.5" x14ac:dyDescent="0.25">
      <c r="A32" t="s">
        <v>349</v>
      </c>
      <c r="B32" t="s">
        <v>350</v>
      </c>
      <c r="C32" t="str">
        <f t="shared" si="2"/>
        <v>Eric Carpenter</v>
      </c>
      <c r="D32" t="s">
        <v>32</v>
      </c>
      <c r="E32" s="3" t="str">
        <f t="shared" si="0"/>
        <v>Male</v>
      </c>
      <c r="F32" s="5">
        <v>22</v>
      </c>
      <c r="G32" t="s">
        <v>52</v>
      </c>
      <c r="H32" t="s">
        <v>53</v>
      </c>
      <c r="I32" t="s">
        <v>283</v>
      </c>
      <c r="J32" s="5">
        <v>4</v>
      </c>
      <c r="K32" s="3" t="str" cm="1">
        <f t="array" ref="K32">_xlfn.IFS(J32&lt;=5, "0-5", J32&lt;=10, "6-10", J32&lt;=15, "11-15", J32&lt;=20, "16-20", J32&gt;20, "21+")</f>
        <v>0-5</v>
      </c>
      <c r="N32" s="4" t="str">
        <f t="shared" si="1"/>
        <v>NA</v>
      </c>
      <c r="O32" s="5">
        <v>1</v>
      </c>
      <c r="P32" t="s">
        <v>27</v>
      </c>
      <c r="Q32" t="s">
        <v>28</v>
      </c>
      <c r="S32" s="7"/>
    </row>
    <row r="33" spans="1:19" ht="13.5" x14ac:dyDescent="0.25">
      <c r="A33" t="s">
        <v>351</v>
      </c>
      <c r="B33" t="s">
        <v>352</v>
      </c>
      <c r="C33" t="str">
        <f t="shared" si="2"/>
        <v>Timothy Daniels</v>
      </c>
      <c r="D33" t="s">
        <v>32</v>
      </c>
      <c r="E33" s="3" t="str">
        <f t="shared" si="0"/>
        <v>Male</v>
      </c>
      <c r="F33" s="5">
        <v>38</v>
      </c>
      <c r="G33" t="s">
        <v>132</v>
      </c>
      <c r="H33" t="s">
        <v>133</v>
      </c>
      <c r="I33" t="s">
        <v>284</v>
      </c>
      <c r="J33" s="5">
        <v>19</v>
      </c>
      <c r="K33" s="3" t="str" cm="1">
        <f t="array" ref="K33">_xlfn.IFS(J33&lt;=5, "0-5", J33&lt;=10, "6-10", J33&lt;=15, "11-15", J33&lt;=20, "16-20", J33&gt;20, "21+")</f>
        <v>16-20</v>
      </c>
      <c r="L33" t="s">
        <v>40</v>
      </c>
      <c r="M33" s="4" t="str">
        <f t="shared" ref="M33" si="13">_xlfn.TEXTAFTER(L33, " ")</f>
        <v>100</v>
      </c>
      <c r="N33" s="4">
        <f t="shared" si="1"/>
        <v>100</v>
      </c>
      <c r="O33" s="5">
        <v>4.2</v>
      </c>
      <c r="P33" t="s">
        <v>64</v>
      </c>
      <c r="Q33" t="s">
        <v>54</v>
      </c>
      <c r="R33" s="1">
        <v>0.68</v>
      </c>
      <c r="S33" s="6">
        <f t="shared" ref="S33:S34" si="14">R33</f>
        <v>0.68</v>
      </c>
    </row>
    <row r="34" spans="1:19" ht="13.5" x14ac:dyDescent="0.25">
      <c r="A34" t="s">
        <v>134</v>
      </c>
      <c r="B34" t="s">
        <v>135</v>
      </c>
      <c r="C34" t="str">
        <f t="shared" si="2"/>
        <v>Robert Nelson</v>
      </c>
      <c r="D34" t="s">
        <v>328</v>
      </c>
      <c r="E34" s="3" t="str">
        <f t="shared" si="0"/>
        <v>Male</v>
      </c>
      <c r="F34" s="5">
        <v>46</v>
      </c>
      <c r="G34" t="s">
        <v>117</v>
      </c>
      <c r="H34" t="s">
        <v>118</v>
      </c>
      <c r="I34" t="s">
        <v>25</v>
      </c>
      <c r="J34" s="5">
        <v>9</v>
      </c>
      <c r="K34" s="3" t="str" cm="1">
        <f t="array" ref="K34">_xlfn.IFS(J34&lt;=5, "0-5", J34&lt;=10, "6-10", J34&lt;=15, "11-15", J34&lt;=20, "16-20", J34&gt;20, "21+")</f>
        <v>6-10</v>
      </c>
      <c r="L34">
        <v>20</v>
      </c>
      <c r="M34" s="4">
        <f t="shared" ref="M34:M36" si="15">L34</f>
        <v>20</v>
      </c>
      <c r="N34" s="4">
        <f t="shared" si="1"/>
        <v>20</v>
      </c>
      <c r="O34" s="5">
        <v>1.4</v>
      </c>
      <c r="P34" t="b">
        <v>1</v>
      </c>
      <c r="Q34" t="s">
        <v>28</v>
      </c>
      <c r="R34" s="1">
        <v>0.76</v>
      </c>
      <c r="S34" s="6">
        <f t="shared" si="14"/>
        <v>0.76</v>
      </c>
    </row>
    <row r="35" spans="1:19" ht="13.5" x14ac:dyDescent="0.25">
      <c r="A35" t="s">
        <v>136</v>
      </c>
      <c r="B35" t="s">
        <v>137</v>
      </c>
      <c r="C35" t="str">
        <f t="shared" si="2"/>
        <v>Michael Anderson</v>
      </c>
      <c r="D35" t="s">
        <v>31</v>
      </c>
      <c r="E35" s="3" t="str">
        <f t="shared" si="0"/>
        <v>Male</v>
      </c>
      <c r="G35" t="s">
        <v>62</v>
      </c>
      <c r="H35" t="s">
        <v>63</v>
      </c>
      <c r="I35" t="s">
        <v>25</v>
      </c>
      <c r="J35" s="5">
        <v>9</v>
      </c>
      <c r="K35" s="3" t="str" cm="1">
        <f t="array" ref="K35">_xlfn.IFS(J35&lt;=5, "0-5", J35&lt;=10, "6-10", J35&lt;=15, "11-15", J35&lt;=20, "16-20", J35&gt;20, "21+")</f>
        <v>6-10</v>
      </c>
      <c r="L35">
        <v>40</v>
      </c>
      <c r="M35" s="4">
        <f t="shared" si="15"/>
        <v>40</v>
      </c>
      <c r="N35" s="4">
        <f t="shared" si="1"/>
        <v>40</v>
      </c>
      <c r="O35" s="5">
        <v>2.4</v>
      </c>
      <c r="P35" t="s">
        <v>27</v>
      </c>
      <c r="Q35" t="s">
        <v>28</v>
      </c>
      <c r="R35">
        <v>82</v>
      </c>
      <c r="S35" s="6">
        <f>R35/100</f>
        <v>0.82</v>
      </c>
    </row>
    <row r="36" spans="1:19" ht="13.5" x14ac:dyDescent="0.25">
      <c r="A36" t="s">
        <v>353</v>
      </c>
      <c r="B36" t="s">
        <v>354</v>
      </c>
      <c r="C36" t="str">
        <f t="shared" si="2"/>
        <v>Jessica Snyder</v>
      </c>
      <c r="D36" t="s">
        <v>21</v>
      </c>
      <c r="E36" s="3" t="str">
        <f t="shared" si="0"/>
        <v>Female</v>
      </c>
      <c r="F36" s="5">
        <v>54</v>
      </c>
      <c r="G36" t="s">
        <v>183</v>
      </c>
      <c r="H36" t="s">
        <v>39</v>
      </c>
      <c r="I36" t="s">
        <v>290</v>
      </c>
      <c r="J36" s="5">
        <v>32</v>
      </c>
      <c r="K36" s="3" t="str" cm="1">
        <f t="array" ref="K36">_xlfn.IFS(J36&lt;=5, "0-5", J36&lt;=10, "6-10", J36&lt;=15, "11-15", J36&lt;=20, "16-20", J36&gt;20, "21+")</f>
        <v>21+</v>
      </c>
      <c r="L36">
        <v>75</v>
      </c>
      <c r="M36" s="4">
        <f t="shared" si="15"/>
        <v>75</v>
      </c>
      <c r="N36" s="4">
        <f t="shared" si="1"/>
        <v>75</v>
      </c>
      <c r="O36" s="5">
        <v>1</v>
      </c>
      <c r="P36" t="s">
        <v>27</v>
      </c>
      <c r="Q36" t="s">
        <v>28</v>
      </c>
      <c r="R36" s="1">
        <v>0.81</v>
      </c>
      <c r="S36" s="6">
        <f>R36</f>
        <v>0.81</v>
      </c>
    </row>
    <row r="37" spans="1:19" ht="13.5" x14ac:dyDescent="0.25">
      <c r="A37" t="s">
        <v>355</v>
      </c>
      <c r="B37" t="s">
        <v>356</v>
      </c>
      <c r="C37" t="str">
        <f t="shared" si="2"/>
        <v>Emily Daniels</v>
      </c>
      <c r="D37" t="s">
        <v>304</v>
      </c>
      <c r="E37" s="3" t="str">
        <f t="shared" si="0"/>
        <v>Female</v>
      </c>
      <c r="F37" s="5">
        <v>52</v>
      </c>
      <c r="G37" t="s">
        <v>62</v>
      </c>
      <c r="H37" t="s">
        <v>63</v>
      </c>
      <c r="I37" t="s">
        <v>290</v>
      </c>
      <c r="J37" s="5">
        <v>28</v>
      </c>
      <c r="K37" s="3" t="str" cm="1">
        <f t="array" ref="K37">_xlfn.IFS(J37&lt;=5, "0-5", J37&lt;=10, "6-10", J37&lt;=15, "11-15", J37&lt;=20, "16-20", J37&gt;20, "21+")</f>
        <v>21+</v>
      </c>
      <c r="L37" s="2">
        <v>20</v>
      </c>
      <c r="M37" s="4" t="str">
        <f>SUBSTITUTE(L37, "$","")</f>
        <v>20</v>
      </c>
      <c r="N37" s="4">
        <f t="shared" si="1"/>
        <v>20</v>
      </c>
      <c r="P37">
        <v>0</v>
      </c>
      <c r="Q37" t="s">
        <v>54</v>
      </c>
      <c r="S37" s="7"/>
    </row>
    <row r="38" spans="1:19" ht="13.5" x14ac:dyDescent="0.25">
      <c r="A38" t="s">
        <v>357</v>
      </c>
      <c r="B38" t="s">
        <v>358</v>
      </c>
      <c r="C38" t="str">
        <f t="shared" si="2"/>
        <v>Jamie Ramirez</v>
      </c>
      <c r="D38" t="s">
        <v>37</v>
      </c>
      <c r="E38" s="3" t="str">
        <f t="shared" si="0"/>
        <v>Female</v>
      </c>
      <c r="F38" s="5">
        <v>42</v>
      </c>
      <c r="G38" t="s">
        <v>88</v>
      </c>
      <c r="H38" t="s">
        <v>89</v>
      </c>
      <c r="I38" t="s">
        <v>285</v>
      </c>
      <c r="J38" s="5">
        <v>6</v>
      </c>
      <c r="K38" s="3" t="str" cm="1">
        <f t="array" ref="K38">_xlfn.IFS(J38&lt;=5, "0-5", J38&lt;=10, "6-10", J38&lt;=15, "11-15", J38&lt;=20, "16-20", J38&gt;20, "21+")</f>
        <v>6-10</v>
      </c>
      <c r="L38">
        <v>40</v>
      </c>
      <c r="M38" s="4">
        <f t="shared" ref="M38:M40" si="16">L38</f>
        <v>40</v>
      </c>
      <c r="N38" s="4">
        <f t="shared" si="1"/>
        <v>40</v>
      </c>
      <c r="P38">
        <v>0</v>
      </c>
      <c r="Q38" t="s">
        <v>54</v>
      </c>
      <c r="R38" s="1">
        <v>0.63</v>
      </c>
      <c r="S38" s="6">
        <f t="shared" ref="S38:S39" si="17">R38</f>
        <v>0.63</v>
      </c>
    </row>
    <row r="39" spans="1:19" ht="13.5" x14ac:dyDescent="0.25">
      <c r="A39" t="s">
        <v>359</v>
      </c>
      <c r="B39" t="s">
        <v>360</v>
      </c>
      <c r="C39" t="str">
        <f t="shared" si="2"/>
        <v>Amy Harrison</v>
      </c>
      <c r="D39" t="s">
        <v>301</v>
      </c>
      <c r="E39" s="3" t="str">
        <f t="shared" si="0"/>
        <v>Female</v>
      </c>
      <c r="F39" s="5">
        <v>29</v>
      </c>
      <c r="G39" t="s">
        <v>52</v>
      </c>
      <c r="H39" t="s">
        <v>53</v>
      </c>
      <c r="I39" t="s">
        <v>287</v>
      </c>
      <c r="J39" s="5">
        <v>10</v>
      </c>
      <c r="K39" s="3" t="str" cm="1">
        <f t="array" ref="K39">_xlfn.IFS(J39&lt;=5, "0-5", J39&lt;=10, "6-10", J39&lt;=15, "11-15", J39&lt;=20, "16-20", J39&gt;20, "21+")</f>
        <v>6-10</v>
      </c>
      <c r="L39">
        <v>40</v>
      </c>
      <c r="M39" s="4">
        <f t="shared" si="16"/>
        <v>40</v>
      </c>
      <c r="N39" s="4">
        <f t="shared" si="1"/>
        <v>40</v>
      </c>
      <c r="O39" s="5">
        <v>2.2000000000000002</v>
      </c>
      <c r="P39" t="s">
        <v>64</v>
      </c>
      <c r="Q39" t="s">
        <v>54</v>
      </c>
      <c r="R39" s="1">
        <v>0.67</v>
      </c>
      <c r="S39" s="6">
        <f t="shared" si="17"/>
        <v>0.67</v>
      </c>
    </row>
    <row r="40" spans="1:19" ht="13.5" x14ac:dyDescent="0.25">
      <c r="A40" t="s">
        <v>361</v>
      </c>
      <c r="B40" t="s">
        <v>362</v>
      </c>
      <c r="C40" t="str">
        <f t="shared" si="2"/>
        <v>Melinda White</v>
      </c>
      <c r="D40" t="s">
        <v>301</v>
      </c>
      <c r="E40" s="3" t="str">
        <f t="shared" si="0"/>
        <v>Female</v>
      </c>
      <c r="F40" s="5">
        <v>42</v>
      </c>
      <c r="G40" t="s">
        <v>177</v>
      </c>
      <c r="H40" t="s">
        <v>178</v>
      </c>
      <c r="I40" t="s">
        <v>285</v>
      </c>
      <c r="J40" s="5">
        <v>23</v>
      </c>
      <c r="K40" s="3" t="str" cm="1">
        <f t="array" ref="K40">_xlfn.IFS(J40&lt;=5, "0-5", J40&lt;=10, "6-10", J40&lt;=15, "11-15", J40&lt;=20, "16-20", J40&gt;20, "21+")</f>
        <v>21+</v>
      </c>
      <c r="L40">
        <v>50</v>
      </c>
      <c r="M40" s="4">
        <f t="shared" si="16"/>
        <v>50</v>
      </c>
      <c r="N40" s="4">
        <f t="shared" si="1"/>
        <v>50</v>
      </c>
      <c r="O40" s="5">
        <v>3.2</v>
      </c>
      <c r="P40" t="s">
        <v>27</v>
      </c>
      <c r="Q40" t="s">
        <v>28</v>
      </c>
      <c r="S40" s="7"/>
    </row>
    <row r="41" spans="1:19" ht="13.5" x14ac:dyDescent="0.25">
      <c r="A41" t="s">
        <v>363</v>
      </c>
      <c r="B41" t="s">
        <v>364</v>
      </c>
      <c r="C41" t="str">
        <f t="shared" si="2"/>
        <v>James Hernandez</v>
      </c>
      <c r="D41" t="s">
        <v>32</v>
      </c>
      <c r="E41" s="3" t="str">
        <f t="shared" si="0"/>
        <v>Male</v>
      </c>
      <c r="F41" s="5">
        <v>60</v>
      </c>
      <c r="G41" t="s">
        <v>88</v>
      </c>
      <c r="H41" t="s">
        <v>89</v>
      </c>
      <c r="I41" t="s">
        <v>290</v>
      </c>
      <c r="J41" s="5">
        <v>13</v>
      </c>
      <c r="K41" s="3" t="str" cm="1">
        <f t="array" ref="K41">_xlfn.IFS(J41&lt;=5, "0-5", J41&lt;=10, "6-10", J41&lt;=15, "11-15", J41&lt;=20, "16-20", J41&gt;20, "21+")</f>
        <v>11-15</v>
      </c>
      <c r="L41" s="2">
        <v>20</v>
      </c>
      <c r="M41" s="4" t="str">
        <f>SUBSTITUTE(L41, "$","")</f>
        <v>20</v>
      </c>
      <c r="N41" s="4">
        <f t="shared" si="1"/>
        <v>20</v>
      </c>
      <c r="O41" s="5">
        <v>3.6</v>
      </c>
      <c r="P41">
        <v>0</v>
      </c>
      <c r="Q41" t="s">
        <v>54</v>
      </c>
      <c r="R41" s="1">
        <v>0.8</v>
      </c>
      <c r="S41" s="6">
        <f>R41</f>
        <v>0.8</v>
      </c>
    </row>
    <row r="42" spans="1:19" ht="13.5" x14ac:dyDescent="0.25">
      <c r="A42" t="s">
        <v>153</v>
      </c>
      <c r="B42" t="s">
        <v>154</v>
      </c>
      <c r="C42" t="str">
        <f t="shared" si="2"/>
        <v>Angelica Rogers</v>
      </c>
      <c r="D42" t="s">
        <v>22</v>
      </c>
      <c r="E42" s="3" t="str">
        <f t="shared" si="0"/>
        <v>Female</v>
      </c>
      <c r="F42" s="5">
        <v>59</v>
      </c>
      <c r="G42" t="s">
        <v>152</v>
      </c>
      <c r="H42" t="s">
        <v>39</v>
      </c>
      <c r="I42" t="s">
        <v>25</v>
      </c>
      <c r="J42" s="5">
        <v>3</v>
      </c>
      <c r="K42" s="3" t="str" cm="1">
        <f t="array" ref="K42">_xlfn.IFS(J42&lt;=5, "0-5", J42&lt;=10, "6-10", J42&lt;=15, "11-15", J42&lt;=20, "16-20", J42&gt;20, "21+")</f>
        <v>0-5</v>
      </c>
      <c r="L42" t="s">
        <v>112</v>
      </c>
      <c r="M42" s="4" t="str">
        <f t="shared" ref="M42" si="18">_xlfn.TEXTAFTER(L42, " ")</f>
        <v>50</v>
      </c>
      <c r="N42" s="4">
        <f t="shared" si="1"/>
        <v>50</v>
      </c>
      <c r="O42" s="5">
        <v>0</v>
      </c>
      <c r="P42" t="s">
        <v>81</v>
      </c>
      <c r="Q42" t="s">
        <v>54</v>
      </c>
      <c r="S42" s="7"/>
    </row>
    <row r="43" spans="1:19" ht="13.5" x14ac:dyDescent="0.25">
      <c r="A43" t="s">
        <v>365</v>
      </c>
      <c r="B43" t="s">
        <v>366</v>
      </c>
      <c r="C43" t="str">
        <f t="shared" si="2"/>
        <v>Savannah Williams</v>
      </c>
      <c r="D43" t="s">
        <v>22</v>
      </c>
      <c r="E43" s="3" t="str">
        <f t="shared" si="0"/>
        <v>Female</v>
      </c>
      <c r="F43" s="5">
        <v>21</v>
      </c>
      <c r="G43" t="s">
        <v>125</v>
      </c>
      <c r="H43" t="s">
        <v>39</v>
      </c>
      <c r="I43" t="s">
        <v>290</v>
      </c>
      <c r="J43" s="5">
        <v>0</v>
      </c>
      <c r="K43" s="3" t="str" cm="1">
        <f t="array" ref="K43">_xlfn.IFS(J43&lt;=5, "0-5", J43&lt;=10, "6-10", J43&lt;=15, "11-15", J43&lt;=20, "16-20", J43&gt;20, "21+")</f>
        <v>0-5</v>
      </c>
      <c r="L43">
        <v>30</v>
      </c>
      <c r="M43" s="4">
        <f>L43</f>
        <v>30</v>
      </c>
      <c r="N43" s="4">
        <f t="shared" si="1"/>
        <v>30</v>
      </c>
      <c r="O43" s="5">
        <v>2.7</v>
      </c>
      <c r="P43">
        <v>1</v>
      </c>
      <c r="Q43" t="s">
        <v>28</v>
      </c>
      <c r="R43" s="1">
        <v>0.84</v>
      </c>
      <c r="S43" s="6">
        <f>R43</f>
        <v>0.84</v>
      </c>
    </row>
    <row r="44" spans="1:19" ht="13.5" x14ac:dyDescent="0.25">
      <c r="A44" t="s">
        <v>367</v>
      </c>
      <c r="B44" t="s">
        <v>368</v>
      </c>
      <c r="C44" t="str">
        <f t="shared" si="2"/>
        <v>Kaitlyn Schmidt</v>
      </c>
      <c r="D44" t="s">
        <v>22</v>
      </c>
      <c r="E44" s="3" t="str">
        <f t="shared" si="0"/>
        <v>Female</v>
      </c>
      <c r="F44" s="5">
        <v>35</v>
      </c>
      <c r="G44" t="s">
        <v>33</v>
      </c>
      <c r="H44" t="s">
        <v>34</v>
      </c>
      <c r="I44" t="s">
        <v>283</v>
      </c>
      <c r="J44" s="5">
        <v>10</v>
      </c>
      <c r="K44" s="3" t="str" cm="1">
        <f t="array" ref="K44">_xlfn.IFS(J44&lt;=5, "0-5", J44&lt;=10, "6-10", J44&lt;=15, "11-15", J44&lt;=20, "16-20", J44&gt;20, "21+")</f>
        <v>6-10</v>
      </c>
      <c r="L44" s="2">
        <v>50</v>
      </c>
      <c r="M44" s="4" t="str">
        <f>SUBSTITUTE(L44, "$","")</f>
        <v>50</v>
      </c>
      <c r="N44" s="4">
        <f t="shared" si="1"/>
        <v>50</v>
      </c>
      <c r="O44" s="5">
        <v>0</v>
      </c>
      <c r="P44" t="s">
        <v>81</v>
      </c>
      <c r="Q44" t="s">
        <v>54</v>
      </c>
      <c r="S44" s="7"/>
    </row>
    <row r="45" spans="1:19" ht="13.5" x14ac:dyDescent="0.25">
      <c r="A45" t="s">
        <v>369</v>
      </c>
      <c r="B45" t="s">
        <v>370</v>
      </c>
      <c r="C45" t="str">
        <f t="shared" si="2"/>
        <v>Jason Singh</v>
      </c>
      <c r="D45" t="s">
        <v>31</v>
      </c>
      <c r="E45" s="3" t="str">
        <f t="shared" si="0"/>
        <v>Male</v>
      </c>
      <c r="F45" s="5">
        <v>41</v>
      </c>
      <c r="G45" t="s">
        <v>152</v>
      </c>
      <c r="H45" t="s">
        <v>39</v>
      </c>
      <c r="I45" t="s">
        <v>291</v>
      </c>
      <c r="K45" s="3" t="str" cm="1">
        <f t="array" ref="K45">_xlfn.IFS(J45&lt;=5, "0-5", J45&lt;=10, "6-10", J45&lt;=15, "11-15", J45&lt;=20, "16-20", J45&gt;20, "21+")</f>
        <v>0-5</v>
      </c>
      <c r="L45">
        <v>20</v>
      </c>
      <c r="M45" s="4">
        <f t="shared" ref="M45:M46" si="19">L45</f>
        <v>20</v>
      </c>
      <c r="N45" s="4">
        <f t="shared" si="1"/>
        <v>20</v>
      </c>
      <c r="O45" s="5">
        <v>2.8</v>
      </c>
      <c r="P45" t="b">
        <v>1</v>
      </c>
      <c r="Q45" t="s">
        <v>28</v>
      </c>
      <c r="R45" s="1">
        <v>0.63</v>
      </c>
      <c r="S45" s="6">
        <f t="shared" ref="S45:S49" si="20">R45</f>
        <v>0.63</v>
      </c>
    </row>
    <row r="46" spans="1:19" ht="13.5" x14ac:dyDescent="0.25">
      <c r="A46" t="s">
        <v>371</v>
      </c>
      <c r="B46" t="s">
        <v>372</v>
      </c>
      <c r="C46" t="str">
        <f t="shared" si="2"/>
        <v>Michelle Ramirez</v>
      </c>
      <c r="D46" t="s">
        <v>22</v>
      </c>
      <c r="E46" s="3" t="str">
        <f t="shared" si="0"/>
        <v>Female</v>
      </c>
      <c r="F46" s="5">
        <v>51</v>
      </c>
      <c r="G46" t="s">
        <v>52</v>
      </c>
      <c r="H46" t="s">
        <v>53</v>
      </c>
      <c r="I46" t="s">
        <v>284</v>
      </c>
      <c r="J46" s="5">
        <v>23</v>
      </c>
      <c r="K46" s="3" t="str" cm="1">
        <f t="array" ref="K46">_xlfn.IFS(J46&lt;=5, "0-5", J46&lt;=10, "6-10", J46&lt;=15, "11-15", J46&lt;=20, "16-20", J46&gt;20, "21+")</f>
        <v>21+</v>
      </c>
      <c r="L46">
        <v>20</v>
      </c>
      <c r="M46" s="4">
        <f t="shared" si="19"/>
        <v>20</v>
      </c>
      <c r="N46" s="4">
        <f t="shared" si="1"/>
        <v>20</v>
      </c>
      <c r="O46" s="5">
        <v>2.5</v>
      </c>
      <c r="P46" t="b">
        <v>0</v>
      </c>
      <c r="Q46" t="s">
        <v>54</v>
      </c>
      <c r="R46" s="1">
        <v>0.8</v>
      </c>
      <c r="S46" s="6">
        <f t="shared" si="20"/>
        <v>0.8</v>
      </c>
    </row>
    <row r="47" spans="1:19" ht="13.5" x14ac:dyDescent="0.25">
      <c r="A47" t="s">
        <v>373</v>
      </c>
      <c r="B47" t="s">
        <v>374</v>
      </c>
      <c r="C47" t="str">
        <f t="shared" si="2"/>
        <v>James Brown</v>
      </c>
      <c r="D47" t="s">
        <v>31</v>
      </c>
      <c r="E47" s="3" t="str">
        <f t="shared" si="0"/>
        <v>Male</v>
      </c>
      <c r="F47" s="5">
        <v>41</v>
      </c>
      <c r="G47" t="s">
        <v>177</v>
      </c>
      <c r="H47" t="s">
        <v>178</v>
      </c>
      <c r="I47" t="s">
        <v>290</v>
      </c>
      <c r="J47" s="5">
        <v>9</v>
      </c>
      <c r="K47" s="3" t="str" cm="1">
        <f t="array" ref="K47">_xlfn.IFS(J47&lt;=5, "0-5", J47&lt;=10, "6-10", J47&lt;=15, "11-15", J47&lt;=20, "16-20", J47&gt;20, "21+")</f>
        <v>6-10</v>
      </c>
      <c r="L47" s="2">
        <v>75</v>
      </c>
      <c r="M47" s="4" t="str">
        <f>SUBSTITUTE(L47, "$","")</f>
        <v>75</v>
      </c>
      <c r="N47" s="4">
        <f t="shared" si="1"/>
        <v>75</v>
      </c>
      <c r="O47" s="5">
        <v>4.9000000000000004</v>
      </c>
      <c r="P47">
        <v>1</v>
      </c>
      <c r="Q47" t="s">
        <v>28</v>
      </c>
      <c r="R47" s="1">
        <v>0.74</v>
      </c>
      <c r="S47" s="6">
        <f t="shared" si="20"/>
        <v>0.74</v>
      </c>
    </row>
    <row r="48" spans="1:19" ht="13.5" x14ac:dyDescent="0.25">
      <c r="A48" t="s">
        <v>375</v>
      </c>
      <c r="B48" t="s">
        <v>376</v>
      </c>
      <c r="C48" t="str">
        <f>_xlfn.TEXTAFTER(B48,". ",)</f>
        <v>Samantha Simmons</v>
      </c>
      <c r="D48" t="s">
        <v>22</v>
      </c>
      <c r="E48" s="3" t="str">
        <f t="shared" si="0"/>
        <v>Female</v>
      </c>
      <c r="F48" s="5">
        <v>47</v>
      </c>
      <c r="G48" t="s">
        <v>117</v>
      </c>
      <c r="H48" t="s">
        <v>118</v>
      </c>
      <c r="I48" t="s">
        <v>283</v>
      </c>
      <c r="J48" s="5">
        <v>15</v>
      </c>
      <c r="K48" s="3" t="str" cm="1">
        <f t="array" ref="K48">_xlfn.IFS(J48&lt;=5, "0-5", J48&lt;=10, "6-10", J48&lt;=15, "11-15", J48&lt;=20, "16-20", J48&gt;20, "21+")</f>
        <v>11-15</v>
      </c>
      <c r="L48" t="s">
        <v>72</v>
      </c>
      <c r="M48" s="4" t="str">
        <f t="shared" ref="M48" si="21">_xlfn.TEXTAFTER(L48, " ")</f>
        <v>30</v>
      </c>
      <c r="N48" s="4">
        <f t="shared" si="1"/>
        <v>30</v>
      </c>
      <c r="O48" s="5">
        <v>4.5</v>
      </c>
      <c r="P48">
        <v>1</v>
      </c>
      <c r="Q48" t="s">
        <v>28</v>
      </c>
      <c r="R48" s="1">
        <v>0.85</v>
      </c>
      <c r="S48" s="6">
        <f t="shared" si="20"/>
        <v>0.85</v>
      </c>
    </row>
    <row r="49" spans="1:19" ht="13.5" x14ac:dyDescent="0.25">
      <c r="A49" t="s">
        <v>377</v>
      </c>
      <c r="B49" t="s">
        <v>378</v>
      </c>
      <c r="C49" t="str">
        <f t="shared" ref="C49:C112" si="22">B49</f>
        <v>Chase Mason</v>
      </c>
      <c r="D49" t="s">
        <v>31</v>
      </c>
      <c r="E49" s="3" t="str">
        <f t="shared" si="0"/>
        <v>Male</v>
      </c>
      <c r="F49" s="5">
        <v>25</v>
      </c>
      <c r="G49" t="s">
        <v>165</v>
      </c>
      <c r="H49" t="s">
        <v>166</v>
      </c>
      <c r="I49" t="s">
        <v>287</v>
      </c>
      <c r="J49" s="5">
        <v>4</v>
      </c>
      <c r="K49" s="3" t="str" cm="1">
        <f t="array" ref="K49">_xlfn.IFS(J49&lt;=5, "0-5", J49&lt;=10, "6-10", J49&lt;=15, "11-15", J49&lt;=20, "16-20", J49&gt;20, "21+")</f>
        <v>0-5</v>
      </c>
      <c r="L49">
        <v>50</v>
      </c>
      <c r="M49" s="4">
        <f t="shared" ref="M49:M56" si="23">L49</f>
        <v>50</v>
      </c>
      <c r="N49" s="4">
        <f t="shared" si="1"/>
        <v>50</v>
      </c>
      <c r="O49" s="5">
        <v>2.7</v>
      </c>
      <c r="P49" t="s">
        <v>64</v>
      </c>
      <c r="Q49" t="s">
        <v>54</v>
      </c>
      <c r="R49" s="1">
        <v>0.77</v>
      </c>
      <c r="S49" s="6">
        <f t="shared" si="20"/>
        <v>0.77</v>
      </c>
    </row>
    <row r="50" spans="1:19" ht="13.5" x14ac:dyDescent="0.25">
      <c r="A50" t="s">
        <v>379</v>
      </c>
      <c r="B50" t="s">
        <v>380</v>
      </c>
      <c r="C50" t="str">
        <f t="shared" si="22"/>
        <v>Dominique Ward</v>
      </c>
      <c r="D50" t="s">
        <v>301</v>
      </c>
      <c r="E50" s="3" t="str">
        <f t="shared" si="0"/>
        <v>Female</v>
      </c>
      <c r="F50" s="5">
        <v>25</v>
      </c>
      <c r="G50" t="s">
        <v>44</v>
      </c>
      <c r="H50" t="s">
        <v>24</v>
      </c>
      <c r="I50" t="s">
        <v>285</v>
      </c>
      <c r="J50" s="5">
        <v>7</v>
      </c>
      <c r="K50" s="3" t="str" cm="1">
        <f t="array" ref="K50">_xlfn.IFS(J50&lt;=5, "0-5", J50&lt;=10, "6-10", J50&lt;=15, "11-15", J50&lt;=20, "16-20", J50&gt;20, "21+")</f>
        <v>6-10</v>
      </c>
      <c r="L50">
        <v>20</v>
      </c>
      <c r="M50" s="4">
        <f t="shared" si="23"/>
        <v>20</v>
      </c>
      <c r="N50" s="4">
        <f t="shared" si="1"/>
        <v>20</v>
      </c>
      <c r="O50" s="5">
        <v>1.9</v>
      </c>
      <c r="P50">
        <v>0</v>
      </c>
      <c r="Q50" t="s">
        <v>54</v>
      </c>
      <c r="S50" s="7"/>
    </row>
    <row r="51" spans="1:19" ht="13.5" x14ac:dyDescent="0.25">
      <c r="A51" t="s">
        <v>381</v>
      </c>
      <c r="B51" t="s">
        <v>382</v>
      </c>
      <c r="C51" t="str">
        <f t="shared" si="22"/>
        <v>Lance Griffin</v>
      </c>
      <c r="D51" t="s">
        <v>43</v>
      </c>
      <c r="E51" s="3" t="str">
        <f t="shared" si="0"/>
        <v>Male</v>
      </c>
      <c r="F51" s="5">
        <v>29</v>
      </c>
      <c r="G51" t="s">
        <v>52</v>
      </c>
      <c r="H51" t="s">
        <v>53</v>
      </c>
      <c r="I51" t="s">
        <v>286</v>
      </c>
      <c r="J51" s="5">
        <v>1</v>
      </c>
      <c r="K51" s="3" t="str" cm="1">
        <f t="array" ref="K51">_xlfn.IFS(J51&lt;=5, "0-5", J51&lt;=10, "6-10", J51&lt;=15, "11-15", J51&lt;=20, "16-20", J51&gt;20, "21+")</f>
        <v>0-5</v>
      </c>
      <c r="L51">
        <v>20</v>
      </c>
      <c r="M51" s="4">
        <f t="shared" si="23"/>
        <v>20</v>
      </c>
      <c r="N51" s="4">
        <f t="shared" si="1"/>
        <v>20</v>
      </c>
      <c r="O51" s="5">
        <v>1.4</v>
      </c>
      <c r="P51">
        <v>1</v>
      </c>
      <c r="Q51" t="s">
        <v>28</v>
      </c>
      <c r="R51" s="1">
        <v>0.63</v>
      </c>
      <c r="S51" s="6">
        <f t="shared" ref="S51:S52" si="24">R51</f>
        <v>0.63</v>
      </c>
    </row>
    <row r="52" spans="1:19" ht="13.5" x14ac:dyDescent="0.25">
      <c r="A52" t="s">
        <v>383</v>
      </c>
      <c r="B52" t="s">
        <v>384</v>
      </c>
      <c r="C52" t="str">
        <f t="shared" si="22"/>
        <v>Julie Burgess</v>
      </c>
      <c r="D52" t="s">
        <v>21</v>
      </c>
      <c r="E52" s="3" t="str">
        <f t="shared" si="0"/>
        <v>Female</v>
      </c>
      <c r="F52" s="5">
        <v>23</v>
      </c>
      <c r="G52" t="s">
        <v>23</v>
      </c>
      <c r="H52" t="s">
        <v>24</v>
      </c>
      <c r="I52" t="s">
        <v>288</v>
      </c>
      <c r="J52" s="5">
        <v>0</v>
      </c>
      <c r="K52" s="3" t="str" cm="1">
        <f t="array" ref="K52">_xlfn.IFS(J52&lt;=5, "0-5", J52&lt;=10, "6-10", J52&lt;=15, "11-15", J52&lt;=20, "16-20", J52&gt;20, "21+")</f>
        <v>0-5</v>
      </c>
      <c r="L52">
        <v>75</v>
      </c>
      <c r="M52" s="4">
        <f t="shared" si="23"/>
        <v>75</v>
      </c>
      <c r="N52" s="4">
        <f t="shared" si="1"/>
        <v>75</v>
      </c>
      <c r="O52" s="5">
        <v>1.9</v>
      </c>
      <c r="P52" t="b">
        <v>1</v>
      </c>
      <c r="Q52" t="s">
        <v>28</v>
      </c>
      <c r="R52" s="1">
        <v>0.79</v>
      </c>
      <c r="S52" s="6">
        <f t="shared" si="24"/>
        <v>0.79</v>
      </c>
    </row>
    <row r="53" spans="1:19" ht="13.5" x14ac:dyDescent="0.25">
      <c r="A53" t="s">
        <v>385</v>
      </c>
      <c r="B53" t="s">
        <v>386</v>
      </c>
      <c r="C53" t="str">
        <f t="shared" si="22"/>
        <v>Don Scott</v>
      </c>
      <c r="D53" t="s">
        <v>31</v>
      </c>
      <c r="E53" s="3" t="str">
        <f t="shared" si="0"/>
        <v>Male</v>
      </c>
      <c r="F53" s="5">
        <v>31</v>
      </c>
      <c r="G53" t="s">
        <v>132</v>
      </c>
      <c r="H53" t="s">
        <v>133</v>
      </c>
      <c r="I53" t="s">
        <v>291</v>
      </c>
      <c r="J53" s="5">
        <v>8</v>
      </c>
      <c r="K53" s="3" t="str" cm="1">
        <f t="array" ref="K53">_xlfn.IFS(J53&lt;=5, "0-5", J53&lt;=10, "6-10", J53&lt;=15, "11-15", J53&lt;=20, "16-20", J53&gt;20, "21+")</f>
        <v>6-10</v>
      </c>
      <c r="L53">
        <v>50</v>
      </c>
      <c r="M53" s="4">
        <f t="shared" si="23"/>
        <v>50</v>
      </c>
      <c r="N53" s="4">
        <f t="shared" si="1"/>
        <v>50</v>
      </c>
      <c r="O53" s="5">
        <v>3.4</v>
      </c>
      <c r="P53">
        <v>0</v>
      </c>
      <c r="Q53" t="s">
        <v>54</v>
      </c>
      <c r="S53" s="7"/>
    </row>
    <row r="54" spans="1:19" ht="13.5" x14ac:dyDescent="0.25">
      <c r="A54" t="s">
        <v>387</v>
      </c>
      <c r="B54" t="s">
        <v>388</v>
      </c>
      <c r="C54" t="str">
        <f t="shared" si="22"/>
        <v>Kyle Atkinson</v>
      </c>
      <c r="D54" t="s">
        <v>32</v>
      </c>
      <c r="E54" s="3" t="str">
        <f t="shared" si="0"/>
        <v>Male</v>
      </c>
      <c r="F54" s="5">
        <v>51</v>
      </c>
      <c r="G54" t="s">
        <v>33</v>
      </c>
      <c r="H54" t="s">
        <v>34</v>
      </c>
      <c r="I54" t="s">
        <v>284</v>
      </c>
      <c r="J54" s="5">
        <v>33</v>
      </c>
      <c r="K54" s="3" t="str" cm="1">
        <f t="array" ref="K54">_xlfn.IFS(J54&lt;=5, "0-5", J54&lt;=10, "6-10", J54&lt;=15, "11-15", J54&lt;=20, "16-20", J54&gt;20, "21+")</f>
        <v>21+</v>
      </c>
      <c r="L54">
        <v>75</v>
      </c>
      <c r="M54" s="4">
        <f t="shared" si="23"/>
        <v>75</v>
      </c>
      <c r="N54" s="4">
        <f t="shared" si="1"/>
        <v>75</v>
      </c>
      <c r="O54" s="5">
        <v>3.3</v>
      </c>
      <c r="R54" s="1">
        <v>0.68</v>
      </c>
      <c r="S54" s="6">
        <f t="shared" ref="S54:S61" si="25">R54</f>
        <v>0.68</v>
      </c>
    </row>
    <row r="55" spans="1:19" ht="13.5" x14ac:dyDescent="0.25">
      <c r="A55" t="s">
        <v>389</v>
      </c>
      <c r="B55" t="s">
        <v>390</v>
      </c>
      <c r="C55" t="str">
        <f t="shared" si="22"/>
        <v>Jimmy Hogan</v>
      </c>
      <c r="D55" t="s">
        <v>43</v>
      </c>
      <c r="E55" s="3" t="str">
        <f t="shared" si="0"/>
        <v>Male</v>
      </c>
      <c r="G55" t="s">
        <v>84</v>
      </c>
      <c r="H55" t="s">
        <v>24</v>
      </c>
      <c r="I55" t="s">
        <v>286</v>
      </c>
      <c r="J55" s="5">
        <v>1</v>
      </c>
      <c r="K55" s="3" t="str" cm="1">
        <f t="array" ref="K55">_xlfn.IFS(J55&lt;=5, "0-5", J55&lt;=10, "6-10", J55&lt;=15, "11-15", J55&lt;=20, "16-20", J55&gt;20, "21+")</f>
        <v>0-5</v>
      </c>
      <c r="L55">
        <v>30</v>
      </c>
      <c r="M55" s="4">
        <f t="shared" si="23"/>
        <v>30</v>
      </c>
      <c r="N55" s="4">
        <f t="shared" si="1"/>
        <v>30</v>
      </c>
      <c r="O55" s="5">
        <v>0</v>
      </c>
      <c r="P55">
        <v>0</v>
      </c>
      <c r="Q55" t="s">
        <v>54</v>
      </c>
      <c r="R55" s="1">
        <v>0.68</v>
      </c>
      <c r="S55" s="6">
        <f t="shared" si="25"/>
        <v>0.68</v>
      </c>
    </row>
    <row r="56" spans="1:19" ht="13.5" x14ac:dyDescent="0.25">
      <c r="A56" t="s">
        <v>391</v>
      </c>
      <c r="B56" t="s">
        <v>392</v>
      </c>
      <c r="C56" t="str">
        <f t="shared" si="22"/>
        <v>Jennifer Mcintyre</v>
      </c>
      <c r="D56" t="s">
        <v>37</v>
      </c>
      <c r="E56" s="3" t="str">
        <f t="shared" si="0"/>
        <v>Female</v>
      </c>
      <c r="F56" s="5">
        <v>29</v>
      </c>
      <c r="G56" t="s">
        <v>67</v>
      </c>
      <c r="H56" t="s">
        <v>68</v>
      </c>
      <c r="I56" t="s">
        <v>288</v>
      </c>
      <c r="J56" s="5">
        <v>11</v>
      </c>
      <c r="K56" s="3" t="str" cm="1">
        <f t="array" ref="K56">_xlfn.IFS(J56&lt;=5, "0-5", J56&lt;=10, "6-10", J56&lt;=15, "11-15", J56&lt;=20, "16-20", J56&gt;20, "21+")</f>
        <v>11-15</v>
      </c>
      <c r="L56">
        <v>100</v>
      </c>
      <c r="M56" s="4">
        <f t="shared" si="23"/>
        <v>100</v>
      </c>
      <c r="N56" s="4">
        <f t="shared" si="1"/>
        <v>100</v>
      </c>
      <c r="O56" s="5">
        <v>2.2999999999999998</v>
      </c>
      <c r="P56" t="b">
        <v>1</v>
      </c>
      <c r="Q56" t="s">
        <v>28</v>
      </c>
      <c r="R56" s="1">
        <v>0.72</v>
      </c>
      <c r="S56" s="6">
        <f t="shared" si="25"/>
        <v>0.72</v>
      </c>
    </row>
    <row r="57" spans="1:19" ht="13.5" x14ac:dyDescent="0.25">
      <c r="A57" t="s">
        <v>188</v>
      </c>
      <c r="B57" t="s">
        <v>189</v>
      </c>
      <c r="C57" t="str">
        <f t="shared" si="22"/>
        <v>Larry Simpson</v>
      </c>
      <c r="D57" t="s">
        <v>43</v>
      </c>
      <c r="E57" s="3" t="str">
        <f t="shared" si="0"/>
        <v>Male</v>
      </c>
      <c r="F57" s="5">
        <v>50</v>
      </c>
      <c r="G57" t="s">
        <v>152</v>
      </c>
      <c r="H57" t="s">
        <v>39</v>
      </c>
      <c r="I57" t="s">
        <v>25</v>
      </c>
      <c r="J57" s="5">
        <v>15</v>
      </c>
      <c r="K57" s="3" t="str" cm="1">
        <f t="array" ref="K57">_xlfn.IFS(J57&lt;=5, "0-5", J57&lt;=10, "6-10", J57&lt;=15, "11-15", J57&lt;=20, "16-20", J57&gt;20, "21+")</f>
        <v>11-15</v>
      </c>
      <c r="N57" s="4" t="str">
        <f t="shared" si="1"/>
        <v>NA</v>
      </c>
      <c r="O57" s="5">
        <v>2</v>
      </c>
      <c r="P57" t="s">
        <v>27</v>
      </c>
      <c r="Q57" t="s">
        <v>28</v>
      </c>
      <c r="R57" s="1">
        <v>0.65</v>
      </c>
      <c r="S57" s="6">
        <f t="shared" si="25"/>
        <v>0.65</v>
      </c>
    </row>
    <row r="58" spans="1:19" ht="13.5" x14ac:dyDescent="0.25">
      <c r="A58" t="s">
        <v>393</v>
      </c>
      <c r="B58" t="s">
        <v>394</v>
      </c>
      <c r="C58" t="str">
        <f t="shared" si="22"/>
        <v>Laura Price</v>
      </c>
      <c r="D58" t="s">
        <v>37</v>
      </c>
      <c r="E58" s="3" t="str">
        <f t="shared" si="0"/>
        <v>Female</v>
      </c>
      <c r="F58" s="5">
        <v>26</v>
      </c>
      <c r="G58" t="s">
        <v>152</v>
      </c>
      <c r="H58" t="s">
        <v>39</v>
      </c>
      <c r="I58" t="s">
        <v>283</v>
      </c>
      <c r="J58" s="5">
        <v>8</v>
      </c>
      <c r="K58" s="3" t="str" cm="1">
        <f t="array" ref="K58">_xlfn.IFS(J58&lt;=5, "0-5", J58&lt;=10, "6-10", J58&lt;=15, "11-15", J58&lt;=20, "16-20", J58&gt;20, "21+")</f>
        <v>6-10</v>
      </c>
      <c r="L58">
        <v>50</v>
      </c>
      <c r="M58" s="4">
        <f>L58</f>
        <v>50</v>
      </c>
      <c r="N58" s="4">
        <f t="shared" si="1"/>
        <v>50</v>
      </c>
      <c r="O58" s="5">
        <v>1.3</v>
      </c>
      <c r="P58" t="b">
        <v>0</v>
      </c>
      <c r="Q58" t="s">
        <v>54</v>
      </c>
      <c r="R58" s="1">
        <v>0.76</v>
      </c>
      <c r="S58" s="6">
        <f t="shared" si="25"/>
        <v>0.76</v>
      </c>
    </row>
    <row r="59" spans="1:19" ht="13.5" x14ac:dyDescent="0.25">
      <c r="A59" t="s">
        <v>192</v>
      </c>
      <c r="B59" t="s">
        <v>193</v>
      </c>
      <c r="C59" t="str">
        <f t="shared" si="22"/>
        <v>Mark Wright</v>
      </c>
      <c r="D59" t="s">
        <v>32</v>
      </c>
      <c r="E59" s="3" t="str">
        <f t="shared" si="0"/>
        <v>Male</v>
      </c>
      <c r="F59" s="5">
        <v>38</v>
      </c>
      <c r="G59" t="s">
        <v>125</v>
      </c>
      <c r="H59" t="s">
        <v>39</v>
      </c>
      <c r="I59" t="s">
        <v>25</v>
      </c>
      <c r="J59" s="5">
        <v>17</v>
      </c>
      <c r="K59" s="3" t="str" cm="1">
        <f t="array" ref="K59">_xlfn.IFS(J59&lt;=5, "0-5", J59&lt;=10, "6-10", J59&lt;=15, "11-15", J59&lt;=20, "16-20", J59&gt;20, "21+")</f>
        <v>16-20</v>
      </c>
      <c r="L59" t="s">
        <v>99</v>
      </c>
      <c r="M59" s="4" t="str">
        <f t="shared" ref="M59" si="26">_xlfn.TEXTAFTER(L59, " ")</f>
        <v>40</v>
      </c>
      <c r="N59" s="4">
        <f t="shared" si="1"/>
        <v>40</v>
      </c>
      <c r="O59" s="5">
        <v>4</v>
      </c>
      <c r="P59" t="b">
        <v>1</v>
      </c>
      <c r="Q59" t="s">
        <v>28</v>
      </c>
      <c r="R59" s="1">
        <v>0.9</v>
      </c>
      <c r="S59" s="6">
        <f t="shared" si="25"/>
        <v>0.9</v>
      </c>
    </row>
    <row r="60" spans="1:19" ht="13.5" x14ac:dyDescent="0.25">
      <c r="A60" t="s">
        <v>395</v>
      </c>
      <c r="B60" t="s">
        <v>396</v>
      </c>
      <c r="C60" t="str">
        <f t="shared" si="22"/>
        <v>Samantha Mcdaniel</v>
      </c>
      <c r="D60" t="s">
        <v>21</v>
      </c>
      <c r="E60" s="3" t="str">
        <f t="shared" si="0"/>
        <v>Female</v>
      </c>
      <c r="F60" s="5">
        <v>23</v>
      </c>
      <c r="G60" t="s">
        <v>146</v>
      </c>
      <c r="H60" t="s">
        <v>147</v>
      </c>
      <c r="I60" t="s">
        <v>285</v>
      </c>
      <c r="K60" s="3" t="str" cm="1">
        <f t="array" ref="K60">_xlfn.IFS(J60&lt;=5, "0-5", J60&lt;=10, "6-10", J60&lt;=15, "11-15", J60&lt;=20, "16-20", J60&gt;20, "21+")</f>
        <v>0-5</v>
      </c>
      <c r="L60">
        <v>75</v>
      </c>
      <c r="M60" s="4">
        <f t="shared" ref="M60:M61" si="27">L60</f>
        <v>75</v>
      </c>
      <c r="N60" s="4">
        <f t="shared" si="1"/>
        <v>75</v>
      </c>
      <c r="O60" s="5">
        <v>3.6</v>
      </c>
      <c r="P60">
        <v>1</v>
      </c>
      <c r="Q60" t="s">
        <v>28</v>
      </c>
      <c r="R60" s="1">
        <v>0.65</v>
      </c>
      <c r="S60" s="6">
        <f t="shared" si="25"/>
        <v>0.65</v>
      </c>
    </row>
    <row r="61" spans="1:19" ht="13.5" x14ac:dyDescent="0.25">
      <c r="A61" t="s">
        <v>397</v>
      </c>
      <c r="B61" t="s">
        <v>398</v>
      </c>
      <c r="C61" t="str">
        <f t="shared" si="22"/>
        <v>Barbara Foster</v>
      </c>
      <c r="D61" t="s">
        <v>22</v>
      </c>
      <c r="E61" s="3" t="str">
        <f t="shared" si="0"/>
        <v>Female</v>
      </c>
      <c r="F61" s="5">
        <v>51</v>
      </c>
      <c r="G61" t="s">
        <v>177</v>
      </c>
      <c r="H61" t="s">
        <v>178</v>
      </c>
      <c r="I61" t="s">
        <v>283</v>
      </c>
      <c r="J61" s="5">
        <v>28</v>
      </c>
      <c r="K61" s="3" t="str" cm="1">
        <f t="array" ref="K61">_xlfn.IFS(J61&lt;=5, "0-5", J61&lt;=10, "6-10", J61&lt;=15, "11-15", J61&lt;=20, "16-20", J61&gt;20, "21+")</f>
        <v>21+</v>
      </c>
      <c r="L61">
        <v>40</v>
      </c>
      <c r="M61" s="4">
        <f t="shared" si="27"/>
        <v>40</v>
      </c>
      <c r="N61" s="4">
        <f t="shared" si="1"/>
        <v>40</v>
      </c>
      <c r="O61" s="5">
        <v>3.9</v>
      </c>
      <c r="P61">
        <v>0</v>
      </c>
      <c r="Q61" t="s">
        <v>54</v>
      </c>
      <c r="R61" s="1">
        <v>0.63</v>
      </c>
      <c r="S61" s="6">
        <f t="shared" si="25"/>
        <v>0.63</v>
      </c>
    </row>
    <row r="62" spans="1:19" ht="13.5" x14ac:dyDescent="0.25">
      <c r="A62" t="s">
        <v>199</v>
      </c>
      <c r="B62" t="s">
        <v>200</v>
      </c>
      <c r="C62" t="str">
        <f t="shared" si="22"/>
        <v>Courtney Tran</v>
      </c>
      <c r="D62" t="s">
        <v>301</v>
      </c>
      <c r="E62" s="3" t="str">
        <f t="shared" si="0"/>
        <v>Female</v>
      </c>
      <c r="F62" s="5">
        <v>51</v>
      </c>
      <c r="G62" t="s">
        <v>104</v>
      </c>
      <c r="H62" t="s">
        <v>105</v>
      </c>
      <c r="I62" t="s">
        <v>25</v>
      </c>
      <c r="J62" s="5">
        <v>33</v>
      </c>
      <c r="K62" s="3" t="str" cm="1">
        <f t="array" ref="K62">_xlfn.IFS(J62&lt;=5, "0-5", J62&lt;=10, "6-10", J62&lt;=15, "11-15", J62&lt;=20, "16-20", J62&gt;20, "21+")</f>
        <v>21+</v>
      </c>
      <c r="L62" s="2">
        <v>75</v>
      </c>
      <c r="M62" s="4" t="str">
        <f>SUBSTITUTE(L62, "$","")</f>
        <v>75</v>
      </c>
      <c r="N62" s="4">
        <f t="shared" si="1"/>
        <v>75</v>
      </c>
      <c r="O62" s="5">
        <v>0</v>
      </c>
      <c r="P62" t="b">
        <v>1</v>
      </c>
      <c r="Q62" t="s">
        <v>28</v>
      </c>
      <c r="S62" s="7"/>
    </row>
    <row r="63" spans="1:19" ht="13.5" x14ac:dyDescent="0.25">
      <c r="A63" t="s">
        <v>201</v>
      </c>
      <c r="B63" t="s">
        <v>202</v>
      </c>
      <c r="C63" t="str">
        <f t="shared" si="22"/>
        <v>Eddie Todd</v>
      </c>
      <c r="D63" t="s">
        <v>32</v>
      </c>
      <c r="E63" s="3" t="str">
        <f t="shared" si="0"/>
        <v>Male</v>
      </c>
      <c r="F63" s="5">
        <v>47</v>
      </c>
      <c r="G63" t="s">
        <v>33</v>
      </c>
      <c r="H63" t="s">
        <v>34</v>
      </c>
      <c r="I63" t="s">
        <v>25</v>
      </c>
      <c r="J63" s="5">
        <v>18</v>
      </c>
      <c r="K63" s="3" t="str" cm="1">
        <f t="array" ref="K63">_xlfn.IFS(J63&lt;=5, "0-5", J63&lt;=10, "6-10", J63&lt;=15, "11-15", J63&lt;=20, "16-20", J63&gt;20, "21+")</f>
        <v>16-20</v>
      </c>
      <c r="L63">
        <v>75</v>
      </c>
      <c r="M63" s="4">
        <f>L63</f>
        <v>75</v>
      </c>
      <c r="N63" s="4">
        <f t="shared" si="1"/>
        <v>75</v>
      </c>
      <c r="O63" s="5">
        <v>0</v>
      </c>
      <c r="P63">
        <v>0</v>
      </c>
      <c r="Q63" t="s">
        <v>54</v>
      </c>
      <c r="S63" s="7"/>
    </row>
    <row r="64" spans="1:19" ht="13.5" x14ac:dyDescent="0.25">
      <c r="A64" t="s">
        <v>399</v>
      </c>
      <c r="B64" t="s">
        <v>400</v>
      </c>
      <c r="C64" t="str">
        <f t="shared" si="22"/>
        <v>Christine Johnson</v>
      </c>
      <c r="D64" t="s">
        <v>22</v>
      </c>
      <c r="E64" s="3" t="str">
        <f t="shared" si="0"/>
        <v>Female</v>
      </c>
      <c r="F64" s="5">
        <v>34</v>
      </c>
      <c r="G64" t="s">
        <v>95</v>
      </c>
      <c r="H64" t="s">
        <v>96</v>
      </c>
      <c r="I64" t="s">
        <v>286</v>
      </c>
      <c r="J64" s="5">
        <v>16</v>
      </c>
      <c r="K64" s="3" t="str" cm="1">
        <f t="array" ref="K64">_xlfn.IFS(J64&lt;=5, "0-5", J64&lt;=10, "6-10", J64&lt;=15, "11-15", J64&lt;=20, "16-20", J64&gt;20, "21+")</f>
        <v>16-20</v>
      </c>
      <c r="L64" s="2">
        <v>20</v>
      </c>
      <c r="M64" s="4" t="str">
        <f>SUBSTITUTE(L64, "$","")</f>
        <v>20</v>
      </c>
      <c r="N64" s="4">
        <f t="shared" si="1"/>
        <v>20</v>
      </c>
      <c r="O64" s="5">
        <v>2.2999999999999998</v>
      </c>
      <c r="P64" t="s">
        <v>27</v>
      </c>
      <c r="Q64" t="s">
        <v>28</v>
      </c>
      <c r="R64" s="1">
        <v>0.93</v>
      </c>
      <c r="S64" s="6">
        <f t="shared" ref="S64:S66" si="28">R64</f>
        <v>0.93</v>
      </c>
    </row>
    <row r="65" spans="1:19" ht="13.5" x14ac:dyDescent="0.25">
      <c r="A65" t="s">
        <v>401</v>
      </c>
      <c r="B65" t="s">
        <v>402</v>
      </c>
      <c r="C65" t="str">
        <f t="shared" si="22"/>
        <v>Leah Phelps</v>
      </c>
      <c r="D65" t="s">
        <v>37</v>
      </c>
      <c r="E65" s="3" t="str">
        <f t="shared" si="0"/>
        <v>Female</v>
      </c>
      <c r="F65" s="5">
        <v>58</v>
      </c>
      <c r="G65" t="s">
        <v>104</v>
      </c>
      <c r="H65" t="s">
        <v>105</v>
      </c>
      <c r="I65" t="s">
        <v>291</v>
      </c>
      <c r="J65" s="5">
        <v>35</v>
      </c>
      <c r="K65" s="3" t="str" cm="1">
        <f t="array" ref="K65">_xlfn.IFS(J65&lt;=5, "0-5", J65&lt;=10, "6-10", J65&lt;=15, "11-15", J65&lt;=20, "16-20", J65&gt;20, "21+")</f>
        <v>21+</v>
      </c>
      <c r="L65" t="s">
        <v>112</v>
      </c>
      <c r="M65" s="4" t="str">
        <f t="shared" ref="M65" si="29">_xlfn.TEXTAFTER(L65, " ")</f>
        <v>50</v>
      </c>
      <c r="N65" s="4">
        <f t="shared" si="1"/>
        <v>50</v>
      </c>
      <c r="O65" s="5">
        <v>4.7</v>
      </c>
      <c r="P65" t="s">
        <v>81</v>
      </c>
      <c r="Q65" t="s">
        <v>54</v>
      </c>
      <c r="R65" s="1">
        <v>0.7</v>
      </c>
      <c r="S65" s="6">
        <f t="shared" si="28"/>
        <v>0.7</v>
      </c>
    </row>
    <row r="66" spans="1:19" ht="13.5" x14ac:dyDescent="0.25">
      <c r="A66" t="s">
        <v>207</v>
      </c>
      <c r="B66" t="s">
        <v>208</v>
      </c>
      <c r="C66" t="str">
        <f t="shared" si="22"/>
        <v>Rebekah Williams</v>
      </c>
      <c r="D66" t="s">
        <v>301</v>
      </c>
      <c r="E66" s="3" t="str">
        <f t="shared" si="0"/>
        <v>Female</v>
      </c>
      <c r="F66" s="5">
        <v>50</v>
      </c>
      <c r="G66" t="s">
        <v>95</v>
      </c>
      <c r="H66" t="s">
        <v>96</v>
      </c>
      <c r="I66" t="s">
        <v>25</v>
      </c>
      <c r="J66" s="5">
        <v>14</v>
      </c>
      <c r="K66" s="3" t="str" cm="1">
        <f t="array" ref="K66">_xlfn.IFS(J66&lt;=5, "0-5", J66&lt;=10, "6-10", J66&lt;=15, "11-15", J66&lt;=20, "16-20", J66&gt;20, "21+")</f>
        <v>11-15</v>
      </c>
      <c r="N66" s="4" t="str">
        <f t="shared" si="1"/>
        <v>NA</v>
      </c>
      <c r="O66" s="5">
        <v>3.5</v>
      </c>
      <c r="P66" t="s">
        <v>57</v>
      </c>
      <c r="Q66" t="s">
        <v>28</v>
      </c>
      <c r="R66" s="1">
        <v>0.83</v>
      </c>
      <c r="S66" s="6">
        <f t="shared" si="28"/>
        <v>0.83</v>
      </c>
    </row>
    <row r="67" spans="1:19" ht="13.5" x14ac:dyDescent="0.25">
      <c r="A67" t="s">
        <v>403</v>
      </c>
      <c r="B67" t="s">
        <v>404</v>
      </c>
      <c r="C67" t="str">
        <f t="shared" si="22"/>
        <v>Crystal Wilson</v>
      </c>
      <c r="D67" t="s">
        <v>21</v>
      </c>
      <c r="E67" s="3" t="str">
        <f t="shared" ref="E67:E130" si="30">IF(LOWER(LEFT(D67,1)) = "f", "Female", "Male")</f>
        <v>Female</v>
      </c>
      <c r="F67" s="5">
        <v>34</v>
      </c>
      <c r="G67" t="s">
        <v>84</v>
      </c>
      <c r="H67" t="s">
        <v>24</v>
      </c>
      <c r="I67" t="s">
        <v>290</v>
      </c>
      <c r="J67" s="5">
        <v>12</v>
      </c>
      <c r="K67" s="3" t="str" cm="1">
        <f t="array" ref="K67">_xlfn.IFS(J67&lt;=5, "0-5", J67&lt;=10, "6-10", J67&lt;=15, "11-15", J67&lt;=20, "16-20", J67&gt;20, "21+")</f>
        <v>11-15</v>
      </c>
      <c r="L67">
        <v>40</v>
      </c>
      <c r="M67" s="4">
        <f>L67</f>
        <v>40</v>
      </c>
      <c r="N67" s="4">
        <f t="shared" ref="N67:N130" si="31">IF(M67="","NA",ROUND(M67,0))</f>
        <v>40</v>
      </c>
      <c r="O67" s="5">
        <v>2.4</v>
      </c>
      <c r="P67">
        <v>1</v>
      </c>
      <c r="Q67" t="s">
        <v>28</v>
      </c>
      <c r="R67">
        <v>64</v>
      </c>
      <c r="S67" s="6">
        <f>R67/100</f>
        <v>0.64</v>
      </c>
    </row>
    <row r="68" spans="1:19" ht="13.5" x14ac:dyDescent="0.25">
      <c r="A68" t="s">
        <v>211</v>
      </c>
      <c r="B68" t="s">
        <v>212</v>
      </c>
      <c r="C68" t="str">
        <f t="shared" si="22"/>
        <v>Ashley Cordova</v>
      </c>
      <c r="D68" t="s">
        <v>22</v>
      </c>
      <c r="E68" s="3" t="str">
        <f t="shared" si="30"/>
        <v>Female</v>
      </c>
      <c r="F68" s="5">
        <v>45</v>
      </c>
      <c r="G68" t="s">
        <v>47</v>
      </c>
      <c r="H68" t="s">
        <v>48</v>
      </c>
      <c r="I68" t="s">
        <v>25</v>
      </c>
      <c r="J68" s="5">
        <v>11</v>
      </c>
      <c r="K68" s="3" t="str" cm="1">
        <f t="array" ref="K68">_xlfn.IFS(J68&lt;=5, "0-5", J68&lt;=10, "6-10", J68&lt;=15, "11-15", J68&lt;=20, "16-20", J68&gt;20, "21+")</f>
        <v>11-15</v>
      </c>
      <c r="L68" t="s">
        <v>92</v>
      </c>
      <c r="M68" s="4" t="str">
        <f t="shared" ref="M68" si="32">_xlfn.TEXTAFTER(L68, " ")</f>
        <v>75</v>
      </c>
      <c r="N68" s="4">
        <f t="shared" si="31"/>
        <v>75</v>
      </c>
      <c r="O68" s="5">
        <v>4</v>
      </c>
      <c r="P68" t="s">
        <v>64</v>
      </c>
      <c r="Q68" t="s">
        <v>54</v>
      </c>
      <c r="R68" s="1">
        <v>1</v>
      </c>
      <c r="S68" s="6">
        <f>R68</f>
        <v>1</v>
      </c>
    </row>
    <row r="69" spans="1:19" ht="13.5" x14ac:dyDescent="0.25">
      <c r="A69" t="s">
        <v>405</v>
      </c>
      <c r="B69" t="s">
        <v>406</v>
      </c>
      <c r="C69" t="str">
        <f t="shared" si="22"/>
        <v>Vicki Kelly</v>
      </c>
      <c r="D69" t="s">
        <v>21</v>
      </c>
      <c r="E69" s="3" t="str">
        <f t="shared" si="30"/>
        <v>Female</v>
      </c>
      <c r="F69" s="5">
        <v>55</v>
      </c>
      <c r="G69" t="s">
        <v>47</v>
      </c>
      <c r="H69" t="s">
        <v>48</v>
      </c>
      <c r="I69" t="s">
        <v>290</v>
      </c>
      <c r="J69" s="5">
        <v>0</v>
      </c>
      <c r="K69" s="3" t="str" cm="1">
        <f t="array" ref="K69">_xlfn.IFS(J69&lt;=5, "0-5", J69&lt;=10, "6-10", J69&lt;=15, "11-15", J69&lt;=20, "16-20", J69&gt;20, "21+")</f>
        <v>0-5</v>
      </c>
      <c r="L69" s="2">
        <v>40</v>
      </c>
      <c r="M69" s="4" t="str">
        <f>SUBSTITUTE(L69, "$","")</f>
        <v>40</v>
      </c>
      <c r="N69" s="4">
        <f t="shared" si="31"/>
        <v>40</v>
      </c>
      <c r="O69" s="5">
        <v>0</v>
      </c>
      <c r="P69" t="b">
        <v>1</v>
      </c>
      <c r="Q69" t="s">
        <v>28</v>
      </c>
      <c r="S69" s="7"/>
    </row>
    <row r="70" spans="1:19" ht="13.5" x14ac:dyDescent="0.25">
      <c r="A70" t="s">
        <v>407</v>
      </c>
      <c r="B70" t="s">
        <v>408</v>
      </c>
      <c r="C70" t="str">
        <f t="shared" si="22"/>
        <v>Corey Warren</v>
      </c>
      <c r="D70" t="s">
        <v>43</v>
      </c>
      <c r="E70" s="3" t="str">
        <f t="shared" si="30"/>
        <v>Male</v>
      </c>
      <c r="G70" t="s">
        <v>23</v>
      </c>
      <c r="H70" t="s">
        <v>24</v>
      </c>
      <c r="I70" t="s">
        <v>286</v>
      </c>
      <c r="J70" s="5">
        <v>6</v>
      </c>
      <c r="K70" s="3" t="str" cm="1">
        <f t="array" ref="K70">_xlfn.IFS(J70&lt;=5, "0-5", J70&lt;=10, "6-10", J70&lt;=15, "11-15", J70&lt;=20, "16-20", J70&gt;20, "21+")</f>
        <v>6-10</v>
      </c>
      <c r="L70">
        <v>100</v>
      </c>
      <c r="M70" s="4">
        <f>L70</f>
        <v>100</v>
      </c>
      <c r="N70" s="4">
        <f t="shared" si="31"/>
        <v>100</v>
      </c>
      <c r="O70" s="5">
        <v>1.5</v>
      </c>
      <c r="P70" t="b">
        <v>0</v>
      </c>
      <c r="Q70" t="s">
        <v>54</v>
      </c>
      <c r="S70" s="7"/>
    </row>
    <row r="71" spans="1:19" ht="13.5" x14ac:dyDescent="0.25">
      <c r="A71" t="s">
        <v>409</v>
      </c>
      <c r="B71" t="s">
        <v>410</v>
      </c>
      <c r="C71" t="str">
        <f t="shared" si="22"/>
        <v>Gina Thompson</v>
      </c>
      <c r="D71" t="s">
        <v>21</v>
      </c>
      <c r="E71" s="3" t="str">
        <f t="shared" si="30"/>
        <v>Female</v>
      </c>
      <c r="F71" s="5">
        <v>60</v>
      </c>
      <c r="G71" t="s">
        <v>165</v>
      </c>
      <c r="H71" t="s">
        <v>166</v>
      </c>
      <c r="I71" t="s">
        <v>286</v>
      </c>
      <c r="J71" s="5">
        <v>38</v>
      </c>
      <c r="K71" s="3" t="str" cm="1">
        <f t="array" ref="K71">_xlfn.IFS(J71&lt;=5, "0-5", J71&lt;=10, "6-10", J71&lt;=15, "11-15", J71&lt;=20, "16-20", J71&gt;20, "21+")</f>
        <v>21+</v>
      </c>
      <c r="L71" s="2">
        <v>20</v>
      </c>
      <c r="M71" s="4" t="str">
        <f>SUBSTITUTE(L71, "$","")</f>
        <v>20</v>
      </c>
      <c r="N71" s="4">
        <f t="shared" si="31"/>
        <v>20</v>
      </c>
      <c r="O71" s="5">
        <v>2</v>
      </c>
      <c r="P71" t="s">
        <v>81</v>
      </c>
      <c r="Q71" t="s">
        <v>54</v>
      </c>
      <c r="R71" s="1">
        <v>0.71</v>
      </c>
      <c r="S71" s="6">
        <f t="shared" ref="S71:S72" si="33">R71</f>
        <v>0.71</v>
      </c>
    </row>
    <row r="72" spans="1:19" ht="13.5" x14ac:dyDescent="0.25">
      <c r="A72" t="s">
        <v>411</v>
      </c>
      <c r="B72" t="s">
        <v>412</v>
      </c>
      <c r="C72" t="str">
        <f t="shared" si="22"/>
        <v>Yvonne Berg</v>
      </c>
      <c r="D72" t="s">
        <v>37</v>
      </c>
      <c r="E72" s="3" t="str">
        <f t="shared" si="30"/>
        <v>Female</v>
      </c>
      <c r="F72" s="5">
        <v>33</v>
      </c>
      <c r="G72" t="s">
        <v>177</v>
      </c>
      <c r="H72" t="s">
        <v>178</v>
      </c>
      <c r="I72" t="s">
        <v>285</v>
      </c>
      <c r="J72" s="5">
        <v>11</v>
      </c>
      <c r="K72" s="3" t="str" cm="1">
        <f t="array" ref="K72">_xlfn.IFS(J72&lt;=5, "0-5", J72&lt;=10, "6-10", J72&lt;=15, "11-15", J72&lt;=20, "16-20", J72&gt;20, "21+")</f>
        <v>11-15</v>
      </c>
      <c r="N72" s="4" t="str">
        <f t="shared" si="31"/>
        <v>NA</v>
      </c>
      <c r="P72" t="s">
        <v>27</v>
      </c>
      <c r="Q72" t="s">
        <v>28</v>
      </c>
      <c r="R72" s="1">
        <v>0.84</v>
      </c>
      <c r="S72" s="6">
        <f t="shared" si="33"/>
        <v>0.84</v>
      </c>
    </row>
    <row r="73" spans="1:19" ht="13.5" x14ac:dyDescent="0.25">
      <c r="A73" t="s">
        <v>413</v>
      </c>
      <c r="B73" t="s">
        <v>414</v>
      </c>
      <c r="C73" t="str">
        <f t="shared" si="22"/>
        <v>Thomas Miller</v>
      </c>
      <c r="D73" t="s">
        <v>328</v>
      </c>
      <c r="E73" s="3" t="str">
        <f t="shared" si="30"/>
        <v>Male</v>
      </c>
      <c r="F73" s="5">
        <v>60</v>
      </c>
      <c r="G73" t="s">
        <v>253</v>
      </c>
      <c r="H73" t="s">
        <v>254</v>
      </c>
      <c r="I73" t="s">
        <v>283</v>
      </c>
      <c r="J73" s="5">
        <v>13</v>
      </c>
      <c r="K73" s="3" t="str" cm="1">
        <f t="array" ref="K73">_xlfn.IFS(J73&lt;=5, "0-5", J73&lt;=10, "6-10", J73&lt;=15, "11-15", J73&lt;=20, "16-20", J73&gt;20, "21+")</f>
        <v>11-15</v>
      </c>
      <c r="L73" t="s">
        <v>112</v>
      </c>
      <c r="M73" s="4" t="str">
        <f t="shared" ref="M73" si="34">_xlfn.TEXTAFTER(L73, " ")</f>
        <v>50</v>
      </c>
      <c r="N73" s="4">
        <f t="shared" si="31"/>
        <v>50</v>
      </c>
      <c r="O73" s="5">
        <v>1</v>
      </c>
      <c r="P73" t="b">
        <v>0</v>
      </c>
      <c r="Q73" t="s">
        <v>54</v>
      </c>
      <c r="S73" s="7"/>
    </row>
    <row r="74" spans="1:19" ht="13.5" x14ac:dyDescent="0.25">
      <c r="A74" t="s">
        <v>415</v>
      </c>
      <c r="B74" t="s">
        <v>416</v>
      </c>
      <c r="C74" t="str">
        <f t="shared" si="22"/>
        <v>Nicholas Burton</v>
      </c>
      <c r="D74" t="s">
        <v>311</v>
      </c>
      <c r="E74" s="3" t="str">
        <f t="shared" si="30"/>
        <v>Male</v>
      </c>
      <c r="F74" s="5">
        <v>40</v>
      </c>
      <c r="G74" t="s">
        <v>183</v>
      </c>
      <c r="H74" t="s">
        <v>39</v>
      </c>
      <c r="I74" t="s">
        <v>290</v>
      </c>
      <c r="J74" s="5">
        <v>9</v>
      </c>
      <c r="K74" s="3" t="str" cm="1">
        <f t="array" ref="K74">_xlfn.IFS(J74&lt;=5, "0-5", J74&lt;=10, "6-10", J74&lt;=15, "11-15", J74&lt;=20, "16-20", J74&gt;20, "21+")</f>
        <v>6-10</v>
      </c>
      <c r="L74" s="2">
        <v>100</v>
      </c>
      <c r="M74" s="4" t="str">
        <f>SUBSTITUTE(L74, "$","")</f>
        <v>100</v>
      </c>
      <c r="N74" s="4">
        <f t="shared" si="31"/>
        <v>100</v>
      </c>
      <c r="O74" s="5">
        <v>4.5</v>
      </c>
      <c r="P74" t="s">
        <v>27</v>
      </c>
      <c r="Q74" t="s">
        <v>28</v>
      </c>
      <c r="R74" s="1">
        <v>0.69</v>
      </c>
      <c r="S74" s="6">
        <f>R74</f>
        <v>0.69</v>
      </c>
    </row>
    <row r="75" spans="1:19" ht="13.5" x14ac:dyDescent="0.25">
      <c r="A75" t="s">
        <v>417</v>
      </c>
      <c r="B75" t="s">
        <v>418</v>
      </c>
      <c r="C75" t="str">
        <f t="shared" si="22"/>
        <v>Jorge Riley</v>
      </c>
      <c r="D75" t="s">
        <v>32</v>
      </c>
      <c r="E75" s="3" t="str">
        <f t="shared" si="30"/>
        <v>Male</v>
      </c>
      <c r="F75" s="5">
        <v>59</v>
      </c>
      <c r="G75" t="s">
        <v>38</v>
      </c>
      <c r="H75" t="s">
        <v>39</v>
      </c>
      <c r="I75" t="s">
        <v>292</v>
      </c>
      <c r="J75" s="5">
        <v>4</v>
      </c>
      <c r="K75" s="3" t="str" cm="1">
        <f t="array" ref="K75">_xlfn.IFS(J75&lt;=5, "0-5", J75&lt;=10, "6-10", J75&lt;=15, "11-15", J75&lt;=20, "16-20", J75&gt;20, "21+")</f>
        <v>0-5</v>
      </c>
      <c r="N75" s="4" t="str">
        <f t="shared" si="31"/>
        <v>NA</v>
      </c>
      <c r="O75" s="5">
        <v>1.9</v>
      </c>
      <c r="P75" t="b">
        <v>0</v>
      </c>
      <c r="Q75" t="s">
        <v>54</v>
      </c>
      <c r="R75">
        <v>88</v>
      </c>
      <c r="S75" s="6">
        <f>R75/100</f>
        <v>0.88</v>
      </c>
    </row>
    <row r="76" spans="1:19" ht="13.5" x14ac:dyDescent="0.25">
      <c r="A76" t="s">
        <v>419</v>
      </c>
      <c r="B76" t="s">
        <v>420</v>
      </c>
      <c r="C76" t="str">
        <f t="shared" si="22"/>
        <v>Melvin Harris</v>
      </c>
      <c r="D76" t="s">
        <v>328</v>
      </c>
      <c r="E76" s="3" t="str">
        <f t="shared" si="30"/>
        <v>Male</v>
      </c>
      <c r="F76" s="5">
        <v>36</v>
      </c>
      <c r="G76" t="s">
        <v>253</v>
      </c>
      <c r="H76" t="s">
        <v>254</v>
      </c>
      <c r="I76" t="s">
        <v>284</v>
      </c>
      <c r="J76" s="5">
        <v>14</v>
      </c>
      <c r="K76" s="3" t="str" cm="1">
        <f t="array" ref="K76">_xlfn.IFS(J76&lt;=5, "0-5", J76&lt;=10, "6-10", J76&lt;=15, "11-15", J76&lt;=20, "16-20", J76&gt;20, "21+")</f>
        <v>11-15</v>
      </c>
      <c r="L76" s="2">
        <v>100</v>
      </c>
      <c r="M76" s="4" t="str">
        <f>SUBSTITUTE(L76, "$","")</f>
        <v>100</v>
      </c>
      <c r="N76" s="4">
        <f t="shared" si="31"/>
        <v>100</v>
      </c>
      <c r="O76" s="5">
        <v>3.7</v>
      </c>
      <c r="P76">
        <v>0</v>
      </c>
      <c r="Q76" t="s">
        <v>54</v>
      </c>
      <c r="S76" s="7"/>
    </row>
    <row r="77" spans="1:19" ht="13.5" x14ac:dyDescent="0.25">
      <c r="A77" t="s">
        <v>421</v>
      </c>
      <c r="B77" t="s">
        <v>422</v>
      </c>
      <c r="C77" t="str">
        <f t="shared" si="22"/>
        <v>Jeremy Meyer</v>
      </c>
      <c r="D77" t="s">
        <v>32</v>
      </c>
      <c r="E77" s="3" t="str">
        <f t="shared" si="30"/>
        <v>Male</v>
      </c>
      <c r="F77" s="5">
        <v>32</v>
      </c>
      <c r="G77" t="s">
        <v>146</v>
      </c>
      <c r="H77" t="s">
        <v>147</v>
      </c>
      <c r="I77" t="s">
        <v>291</v>
      </c>
      <c r="K77" s="3" t="str" cm="1">
        <f t="array" ref="K77">_xlfn.IFS(J77&lt;=5, "0-5", J77&lt;=10, "6-10", J77&lt;=15, "11-15", J77&lt;=20, "16-20", J77&gt;20, "21+")</f>
        <v>0-5</v>
      </c>
      <c r="L77">
        <v>30</v>
      </c>
      <c r="M77" s="4">
        <f>L77</f>
        <v>30</v>
      </c>
      <c r="N77" s="4">
        <f t="shared" si="31"/>
        <v>30</v>
      </c>
      <c r="O77" s="5">
        <v>1.9</v>
      </c>
      <c r="P77" t="b">
        <v>1</v>
      </c>
      <c r="Q77" t="s">
        <v>28</v>
      </c>
      <c r="R77" s="1">
        <v>0.96</v>
      </c>
      <c r="S77" s="6">
        <f>R77</f>
        <v>0.96</v>
      </c>
    </row>
    <row r="78" spans="1:19" ht="13.5" x14ac:dyDescent="0.25">
      <c r="A78" t="s">
        <v>231</v>
      </c>
      <c r="B78" t="s">
        <v>232</v>
      </c>
      <c r="C78" t="str">
        <f t="shared" si="22"/>
        <v>Timothy Lee</v>
      </c>
      <c r="D78" t="s">
        <v>31</v>
      </c>
      <c r="E78" s="3" t="str">
        <f t="shared" si="30"/>
        <v>Male</v>
      </c>
      <c r="F78" s="5">
        <v>59</v>
      </c>
      <c r="G78" t="s">
        <v>38</v>
      </c>
      <c r="H78" t="s">
        <v>39</v>
      </c>
      <c r="I78" t="s">
        <v>25</v>
      </c>
      <c r="J78" s="5">
        <v>9</v>
      </c>
      <c r="K78" s="3" t="str" cm="1">
        <f t="array" ref="K78">_xlfn.IFS(J78&lt;=5, "0-5", J78&lt;=10, "6-10", J78&lt;=15, "11-15", J78&lt;=20, "16-20", J78&gt;20, "21+")</f>
        <v>6-10</v>
      </c>
      <c r="L78" t="s">
        <v>92</v>
      </c>
      <c r="M78" s="4" t="str">
        <f t="shared" ref="M78:M79" si="35">_xlfn.TEXTAFTER(L78, " ")</f>
        <v>75</v>
      </c>
      <c r="N78" s="4">
        <f t="shared" si="31"/>
        <v>75</v>
      </c>
      <c r="O78" s="5">
        <v>4</v>
      </c>
      <c r="P78">
        <v>1</v>
      </c>
      <c r="Q78" t="s">
        <v>28</v>
      </c>
      <c r="R78">
        <v>96</v>
      </c>
      <c r="S78" s="6">
        <f>R78/100</f>
        <v>0.96</v>
      </c>
    </row>
    <row r="79" spans="1:19" ht="13.5" x14ac:dyDescent="0.25">
      <c r="A79" t="s">
        <v>423</v>
      </c>
      <c r="B79" t="s">
        <v>424</v>
      </c>
      <c r="C79" t="str">
        <f t="shared" si="22"/>
        <v>Diana Bautista</v>
      </c>
      <c r="D79" t="s">
        <v>301</v>
      </c>
      <c r="E79" s="3" t="str">
        <f t="shared" si="30"/>
        <v>Female</v>
      </c>
      <c r="F79" s="5">
        <v>54</v>
      </c>
      <c r="G79" t="s">
        <v>84</v>
      </c>
      <c r="H79" t="s">
        <v>24</v>
      </c>
      <c r="I79" t="s">
        <v>283</v>
      </c>
      <c r="J79" s="5">
        <v>32</v>
      </c>
      <c r="K79" s="3" t="str" cm="1">
        <f t="array" ref="K79">_xlfn.IFS(J79&lt;=5, "0-5", J79&lt;=10, "6-10", J79&lt;=15, "11-15", J79&lt;=20, "16-20", J79&gt;20, "21+")</f>
        <v>21+</v>
      </c>
      <c r="L79" t="s">
        <v>99</v>
      </c>
      <c r="M79" s="4" t="str">
        <f t="shared" si="35"/>
        <v>40</v>
      </c>
      <c r="N79" s="4">
        <f t="shared" si="31"/>
        <v>40</v>
      </c>
      <c r="O79" s="5">
        <v>1.8</v>
      </c>
      <c r="P79" t="s">
        <v>64</v>
      </c>
      <c r="Q79" t="s">
        <v>54</v>
      </c>
      <c r="S79" s="7"/>
    </row>
    <row r="80" spans="1:19" ht="13.5" x14ac:dyDescent="0.25">
      <c r="A80" t="s">
        <v>425</v>
      </c>
      <c r="B80" t="s">
        <v>426</v>
      </c>
      <c r="C80" t="str">
        <f t="shared" si="22"/>
        <v>Leslie Rodriguez</v>
      </c>
      <c r="D80" t="s">
        <v>37</v>
      </c>
      <c r="E80" s="3" t="str">
        <f t="shared" si="30"/>
        <v>Female</v>
      </c>
      <c r="F80" s="5">
        <v>37</v>
      </c>
      <c r="G80" t="s">
        <v>125</v>
      </c>
      <c r="H80" t="s">
        <v>39</v>
      </c>
      <c r="I80" t="s">
        <v>287</v>
      </c>
      <c r="J80" s="5">
        <v>9</v>
      </c>
      <c r="K80" s="3" t="str" cm="1">
        <f t="array" ref="K80">_xlfn.IFS(J80&lt;=5, "0-5", J80&lt;=10, "6-10", J80&lt;=15, "11-15", J80&lt;=20, "16-20", J80&gt;20, "21+")</f>
        <v>6-10</v>
      </c>
      <c r="N80" s="4" t="str">
        <f t="shared" si="31"/>
        <v>NA</v>
      </c>
      <c r="O80" s="5">
        <v>0</v>
      </c>
      <c r="P80">
        <v>1</v>
      </c>
      <c r="Q80" t="s">
        <v>28</v>
      </c>
      <c r="R80" s="1">
        <v>0.89</v>
      </c>
      <c r="S80" s="6">
        <f>R80</f>
        <v>0.89</v>
      </c>
    </row>
    <row r="81" spans="1:19" ht="13.5" x14ac:dyDescent="0.25">
      <c r="A81" t="s">
        <v>427</v>
      </c>
      <c r="B81" t="s">
        <v>428</v>
      </c>
      <c r="C81" t="str">
        <f t="shared" si="22"/>
        <v>Noah Wiggins</v>
      </c>
      <c r="D81" t="s">
        <v>311</v>
      </c>
      <c r="E81" s="3" t="str">
        <f t="shared" si="30"/>
        <v>Male</v>
      </c>
      <c r="F81" s="5">
        <v>54</v>
      </c>
      <c r="G81" t="s">
        <v>146</v>
      </c>
      <c r="H81" t="s">
        <v>147</v>
      </c>
      <c r="I81" t="s">
        <v>284</v>
      </c>
      <c r="J81" s="5">
        <v>21</v>
      </c>
      <c r="K81" s="3" t="str" cm="1">
        <f t="array" ref="K81">_xlfn.IFS(J81&lt;=5, "0-5", J81&lt;=10, "6-10", J81&lt;=15, "11-15", J81&lt;=20, "16-20", J81&gt;20, "21+")</f>
        <v>21+</v>
      </c>
      <c r="L81" s="2">
        <v>100</v>
      </c>
      <c r="M81" s="4" t="str">
        <f>SUBSTITUTE(L81, "$","")</f>
        <v>100</v>
      </c>
      <c r="N81" s="4">
        <f t="shared" si="31"/>
        <v>100</v>
      </c>
      <c r="O81" s="5">
        <v>4.5999999999999996</v>
      </c>
      <c r="P81" t="b">
        <v>0</v>
      </c>
      <c r="Q81" t="s">
        <v>54</v>
      </c>
      <c r="S81" s="7"/>
    </row>
    <row r="82" spans="1:19" ht="13.5" x14ac:dyDescent="0.25">
      <c r="A82" t="s">
        <v>429</v>
      </c>
      <c r="B82" t="s">
        <v>430</v>
      </c>
      <c r="C82" t="str">
        <f t="shared" si="22"/>
        <v>Bridget Williams</v>
      </c>
      <c r="D82" t="s">
        <v>22</v>
      </c>
      <c r="E82" s="3" t="str">
        <f t="shared" si="30"/>
        <v>Female</v>
      </c>
      <c r="F82" s="5">
        <v>33</v>
      </c>
      <c r="G82" t="s">
        <v>23</v>
      </c>
      <c r="H82" t="s">
        <v>24</v>
      </c>
      <c r="I82" t="s">
        <v>286</v>
      </c>
      <c r="J82" s="5">
        <v>12</v>
      </c>
      <c r="K82" s="3" t="str" cm="1">
        <f t="array" ref="K82">_xlfn.IFS(J82&lt;=5, "0-5", J82&lt;=10, "6-10", J82&lt;=15, "11-15", J82&lt;=20, "16-20", J82&gt;20, "21+")</f>
        <v>11-15</v>
      </c>
      <c r="L82">
        <v>100</v>
      </c>
      <c r="M82" s="4">
        <f>L82</f>
        <v>100</v>
      </c>
      <c r="N82" s="4">
        <f t="shared" si="31"/>
        <v>100</v>
      </c>
      <c r="O82" s="5">
        <v>3.6</v>
      </c>
      <c r="P82">
        <v>0</v>
      </c>
      <c r="Q82" t="s">
        <v>54</v>
      </c>
      <c r="R82" s="1">
        <v>0.63</v>
      </c>
      <c r="S82" s="6">
        <f>R82</f>
        <v>0.63</v>
      </c>
    </row>
    <row r="83" spans="1:19" ht="13.5" x14ac:dyDescent="0.25">
      <c r="A83" t="s">
        <v>431</v>
      </c>
      <c r="B83" t="s">
        <v>432</v>
      </c>
      <c r="C83" t="str">
        <f t="shared" si="22"/>
        <v>Veronica Baker</v>
      </c>
      <c r="D83" t="s">
        <v>37</v>
      </c>
      <c r="E83" s="3" t="str">
        <f t="shared" si="30"/>
        <v>Female</v>
      </c>
      <c r="F83" s="5">
        <v>25</v>
      </c>
      <c r="G83" t="s">
        <v>117</v>
      </c>
      <c r="H83" t="s">
        <v>118</v>
      </c>
      <c r="I83" t="s">
        <v>290</v>
      </c>
      <c r="J83" s="5">
        <v>7</v>
      </c>
      <c r="K83" s="3" t="str" cm="1">
        <f t="array" ref="K83">_xlfn.IFS(J83&lt;=5, "0-5", J83&lt;=10, "6-10", J83&lt;=15, "11-15", J83&lt;=20, "16-20", J83&gt;20, "21+")</f>
        <v>6-10</v>
      </c>
      <c r="L83" t="s">
        <v>99</v>
      </c>
      <c r="M83" s="4" t="str">
        <f t="shared" ref="M83" si="36">_xlfn.TEXTAFTER(L83, " ")</f>
        <v>40</v>
      </c>
      <c r="N83" s="4">
        <f t="shared" si="31"/>
        <v>40</v>
      </c>
      <c r="O83" s="5">
        <v>4.4000000000000004</v>
      </c>
      <c r="R83">
        <v>81</v>
      </c>
      <c r="S83" s="6">
        <f>R83/100</f>
        <v>0.81</v>
      </c>
    </row>
    <row r="84" spans="1:19" ht="13.5" x14ac:dyDescent="0.25">
      <c r="A84" t="s">
        <v>433</v>
      </c>
      <c r="B84" t="s">
        <v>434</v>
      </c>
      <c r="C84" t="str">
        <f t="shared" si="22"/>
        <v>Andrew Avila</v>
      </c>
      <c r="D84" t="s">
        <v>32</v>
      </c>
      <c r="E84" s="3" t="str">
        <f t="shared" si="30"/>
        <v>Male</v>
      </c>
      <c r="G84" t="s">
        <v>165</v>
      </c>
      <c r="H84" t="s">
        <v>166</v>
      </c>
      <c r="I84" t="s">
        <v>283</v>
      </c>
      <c r="J84" s="5">
        <v>3</v>
      </c>
      <c r="K84" s="3" t="str" cm="1">
        <f t="array" ref="K84">_xlfn.IFS(J84&lt;=5, "0-5", J84&lt;=10, "6-10", J84&lt;=15, "11-15", J84&lt;=20, "16-20", J84&gt;20, "21+")</f>
        <v>0-5</v>
      </c>
      <c r="L84">
        <v>40</v>
      </c>
      <c r="M84" s="4">
        <f>L84</f>
        <v>40</v>
      </c>
      <c r="N84" s="4">
        <f t="shared" si="31"/>
        <v>40</v>
      </c>
      <c r="O84" s="5">
        <v>4.5999999999999996</v>
      </c>
      <c r="P84" t="s">
        <v>64</v>
      </c>
      <c r="Q84" t="s">
        <v>54</v>
      </c>
      <c r="R84" s="1">
        <v>0.74</v>
      </c>
      <c r="S84" s="6">
        <f t="shared" ref="S84:S85" si="37">R84</f>
        <v>0.74</v>
      </c>
    </row>
    <row r="85" spans="1:19" ht="13.5" x14ac:dyDescent="0.25">
      <c r="A85" t="s">
        <v>435</v>
      </c>
      <c r="B85" t="s">
        <v>436</v>
      </c>
      <c r="C85" t="str">
        <f t="shared" si="22"/>
        <v>Michael Roberson</v>
      </c>
      <c r="D85" t="s">
        <v>31</v>
      </c>
      <c r="E85" s="3" t="str">
        <f t="shared" si="30"/>
        <v>Male</v>
      </c>
      <c r="F85" s="5">
        <v>35</v>
      </c>
      <c r="G85" t="s">
        <v>62</v>
      </c>
      <c r="H85" t="s">
        <v>63</v>
      </c>
      <c r="I85" t="s">
        <v>290</v>
      </c>
      <c r="J85" s="5">
        <v>5</v>
      </c>
      <c r="K85" s="3" t="str" cm="1">
        <f t="array" ref="K85">_xlfn.IFS(J85&lt;=5, "0-5", J85&lt;=10, "6-10", J85&lt;=15, "11-15", J85&lt;=20, "16-20", J85&gt;20, "21+")</f>
        <v>0-5</v>
      </c>
      <c r="L85" s="2">
        <v>75</v>
      </c>
      <c r="M85" s="4" t="str">
        <f t="shared" ref="M85:M86" si="38">SUBSTITUTE(L85, "$","")</f>
        <v>75</v>
      </c>
      <c r="N85" s="4">
        <f t="shared" si="31"/>
        <v>75</v>
      </c>
      <c r="O85" s="5">
        <v>3.2</v>
      </c>
      <c r="P85" t="b">
        <v>0</v>
      </c>
      <c r="Q85" t="s">
        <v>54</v>
      </c>
      <c r="R85" s="1">
        <v>0.72</v>
      </c>
      <c r="S85" s="6">
        <f t="shared" si="37"/>
        <v>0.72</v>
      </c>
    </row>
    <row r="86" spans="1:19" ht="13.5" x14ac:dyDescent="0.25">
      <c r="A86" t="s">
        <v>247</v>
      </c>
      <c r="B86" t="s">
        <v>248</v>
      </c>
      <c r="C86" t="str">
        <f t="shared" si="22"/>
        <v>Austin Jenkins</v>
      </c>
      <c r="D86" t="s">
        <v>32</v>
      </c>
      <c r="E86" s="3" t="str">
        <f t="shared" si="30"/>
        <v>Male</v>
      </c>
      <c r="F86" s="5">
        <v>59</v>
      </c>
      <c r="G86" t="s">
        <v>62</v>
      </c>
      <c r="H86" t="s">
        <v>63</v>
      </c>
      <c r="I86" t="s">
        <v>25</v>
      </c>
      <c r="J86" s="5">
        <v>30</v>
      </c>
      <c r="K86" s="3" t="str" cm="1">
        <f t="array" ref="K86">_xlfn.IFS(J86&lt;=5, "0-5", J86&lt;=10, "6-10", J86&lt;=15, "11-15", J86&lt;=20, "16-20", J86&gt;20, "21+")</f>
        <v>21+</v>
      </c>
      <c r="L86" s="2">
        <v>40</v>
      </c>
      <c r="M86" s="4" t="str">
        <f t="shared" si="38"/>
        <v>40</v>
      </c>
      <c r="N86" s="4">
        <f t="shared" si="31"/>
        <v>40</v>
      </c>
      <c r="O86" s="5">
        <v>0</v>
      </c>
      <c r="P86" t="b">
        <v>1</v>
      </c>
      <c r="Q86" t="s">
        <v>28</v>
      </c>
      <c r="S86" s="7"/>
    </row>
    <row r="87" spans="1:19" ht="13.5" x14ac:dyDescent="0.25">
      <c r="A87" t="s">
        <v>437</v>
      </c>
      <c r="B87" t="s">
        <v>438</v>
      </c>
      <c r="C87" t="str">
        <f t="shared" si="22"/>
        <v>Brenda Green</v>
      </c>
      <c r="D87" t="s">
        <v>304</v>
      </c>
      <c r="E87" s="3" t="str">
        <f t="shared" si="30"/>
        <v>Female</v>
      </c>
      <c r="F87" s="5">
        <v>21</v>
      </c>
      <c r="G87" t="s">
        <v>165</v>
      </c>
      <c r="H87" t="s">
        <v>166</v>
      </c>
      <c r="I87" t="s">
        <v>283</v>
      </c>
      <c r="J87" s="5">
        <v>2</v>
      </c>
      <c r="K87" s="3" t="str" cm="1">
        <f t="array" ref="K87">_xlfn.IFS(J87&lt;=5, "0-5", J87&lt;=10, "6-10", J87&lt;=15, "11-15", J87&lt;=20, "16-20", J87&gt;20, "21+")</f>
        <v>0-5</v>
      </c>
      <c r="L87">
        <v>100</v>
      </c>
      <c r="M87" s="4">
        <f>L87</f>
        <v>100</v>
      </c>
      <c r="N87" s="4">
        <f t="shared" si="31"/>
        <v>100</v>
      </c>
      <c r="O87" s="5">
        <v>2.6</v>
      </c>
      <c r="P87" t="s">
        <v>57</v>
      </c>
      <c r="Q87" t="s">
        <v>28</v>
      </c>
      <c r="R87" s="1">
        <v>0.85</v>
      </c>
      <c r="S87" s="6">
        <f>R87</f>
        <v>0.85</v>
      </c>
    </row>
    <row r="88" spans="1:19" ht="13.5" x14ac:dyDescent="0.25">
      <c r="A88" t="s">
        <v>439</v>
      </c>
      <c r="B88" t="s">
        <v>440</v>
      </c>
      <c r="C88" t="str">
        <f t="shared" si="22"/>
        <v>Samuel Pierce</v>
      </c>
      <c r="D88" t="s">
        <v>328</v>
      </c>
      <c r="E88" s="3" t="str">
        <f t="shared" si="30"/>
        <v>Male</v>
      </c>
      <c r="F88" s="5">
        <v>25</v>
      </c>
      <c r="G88" t="s">
        <v>183</v>
      </c>
      <c r="H88" t="s">
        <v>39</v>
      </c>
      <c r="I88" t="s">
        <v>285</v>
      </c>
      <c r="J88" s="5">
        <v>2</v>
      </c>
      <c r="K88" s="3" t="str" cm="1">
        <f t="array" ref="K88">_xlfn.IFS(J88&lt;=5, "0-5", J88&lt;=10, "6-10", J88&lt;=15, "11-15", J88&lt;=20, "16-20", J88&gt;20, "21+")</f>
        <v>0-5</v>
      </c>
      <c r="L88" s="2">
        <v>75</v>
      </c>
      <c r="M88" s="4" t="str">
        <f>SUBSTITUTE(L88, "$","")</f>
        <v>75</v>
      </c>
      <c r="N88" s="4">
        <f t="shared" si="31"/>
        <v>75</v>
      </c>
      <c r="O88" s="5">
        <v>3.7</v>
      </c>
      <c r="P88" t="s">
        <v>64</v>
      </c>
      <c r="Q88" t="s">
        <v>54</v>
      </c>
      <c r="S88" s="7"/>
    </row>
    <row r="89" spans="1:19" ht="13.5" x14ac:dyDescent="0.25">
      <c r="A89" t="s">
        <v>441</v>
      </c>
      <c r="B89" t="s">
        <v>442</v>
      </c>
      <c r="C89" t="str">
        <f t="shared" si="22"/>
        <v>Briana Smith</v>
      </c>
      <c r="D89" t="s">
        <v>37</v>
      </c>
      <c r="E89" s="3" t="str">
        <f t="shared" si="30"/>
        <v>Female</v>
      </c>
      <c r="F89" s="5">
        <v>38</v>
      </c>
      <c r="G89" t="s">
        <v>44</v>
      </c>
      <c r="H89" t="s">
        <v>24</v>
      </c>
      <c r="I89" t="s">
        <v>290</v>
      </c>
      <c r="J89" s="5">
        <v>19</v>
      </c>
      <c r="K89" s="3" t="str" cm="1">
        <f t="array" ref="K89">_xlfn.IFS(J89&lt;=5, "0-5", J89&lt;=10, "6-10", J89&lt;=15, "11-15", J89&lt;=20, "16-20", J89&gt;20, "21+")</f>
        <v>16-20</v>
      </c>
      <c r="L89">
        <v>75</v>
      </c>
      <c r="M89" s="4">
        <f t="shared" ref="M89:M90" si="39">L89</f>
        <v>75</v>
      </c>
      <c r="N89" s="4">
        <f t="shared" si="31"/>
        <v>75</v>
      </c>
      <c r="O89" s="5">
        <v>2.2999999999999998</v>
      </c>
      <c r="P89" t="b">
        <v>0</v>
      </c>
      <c r="Q89" t="s">
        <v>54</v>
      </c>
      <c r="R89" s="1">
        <v>0.61</v>
      </c>
      <c r="S89" s="6">
        <f>R89</f>
        <v>0.61</v>
      </c>
    </row>
    <row r="90" spans="1:19" ht="13.5" x14ac:dyDescent="0.25">
      <c r="A90" t="s">
        <v>257</v>
      </c>
      <c r="B90" t="s">
        <v>258</v>
      </c>
      <c r="C90" t="str">
        <f t="shared" si="22"/>
        <v>Ronald Barrett</v>
      </c>
      <c r="D90" t="s">
        <v>32</v>
      </c>
      <c r="E90" s="3" t="str">
        <f t="shared" si="30"/>
        <v>Male</v>
      </c>
      <c r="F90" s="5">
        <v>57</v>
      </c>
      <c r="G90" t="s">
        <v>95</v>
      </c>
      <c r="H90" t="s">
        <v>96</v>
      </c>
      <c r="I90" t="s">
        <v>25</v>
      </c>
      <c r="J90" s="5">
        <v>16</v>
      </c>
      <c r="K90" s="3" t="str" cm="1">
        <f t="array" ref="K90">_xlfn.IFS(J90&lt;=5, "0-5", J90&lt;=10, "6-10", J90&lt;=15, "11-15", J90&lt;=20, "16-20", J90&gt;20, "21+")</f>
        <v>16-20</v>
      </c>
      <c r="L90">
        <v>100</v>
      </c>
      <c r="M90" s="4">
        <f t="shared" si="39"/>
        <v>100</v>
      </c>
      <c r="N90" s="4">
        <f t="shared" si="31"/>
        <v>100</v>
      </c>
      <c r="O90" s="5">
        <v>3.1</v>
      </c>
      <c r="P90" t="b">
        <v>0</v>
      </c>
      <c r="Q90" t="s">
        <v>54</v>
      </c>
      <c r="S90" s="7"/>
    </row>
    <row r="91" spans="1:19" ht="13.5" x14ac:dyDescent="0.25">
      <c r="A91" t="s">
        <v>443</v>
      </c>
      <c r="B91" t="s">
        <v>444</v>
      </c>
      <c r="C91" t="str">
        <f t="shared" si="22"/>
        <v>Matthew Smith</v>
      </c>
      <c r="D91" t="s">
        <v>43</v>
      </c>
      <c r="E91" s="3" t="str">
        <f t="shared" si="30"/>
        <v>Male</v>
      </c>
      <c r="F91" s="5">
        <v>32</v>
      </c>
      <c r="G91" t="s">
        <v>146</v>
      </c>
      <c r="H91" t="s">
        <v>147</v>
      </c>
      <c r="I91" t="s">
        <v>285</v>
      </c>
      <c r="J91" s="5">
        <v>10</v>
      </c>
      <c r="K91" s="3" t="str" cm="1">
        <f t="array" ref="K91">_xlfn.IFS(J91&lt;=5, "0-5", J91&lt;=10, "6-10", J91&lt;=15, "11-15", J91&lt;=20, "16-20", J91&gt;20, "21+")</f>
        <v>6-10</v>
      </c>
      <c r="L91" s="2">
        <v>20</v>
      </c>
      <c r="M91" s="4" t="str">
        <f>SUBSTITUTE(L91, "$","")</f>
        <v>20</v>
      </c>
      <c r="N91" s="4">
        <f t="shared" si="31"/>
        <v>20</v>
      </c>
      <c r="O91" s="5">
        <v>2.4</v>
      </c>
      <c r="P91">
        <v>0</v>
      </c>
      <c r="Q91" t="s">
        <v>54</v>
      </c>
      <c r="R91" s="1">
        <v>0.86</v>
      </c>
      <c r="S91" s="6">
        <f t="shared" ref="S91:S98" si="40">R91</f>
        <v>0.86</v>
      </c>
    </row>
    <row r="92" spans="1:19" ht="13.5" x14ac:dyDescent="0.25">
      <c r="A92" t="s">
        <v>445</v>
      </c>
      <c r="B92" t="s">
        <v>446</v>
      </c>
      <c r="C92" t="str">
        <f t="shared" si="22"/>
        <v>Logan Huang</v>
      </c>
      <c r="D92" t="s">
        <v>31</v>
      </c>
      <c r="E92" s="3" t="str">
        <f t="shared" si="30"/>
        <v>Male</v>
      </c>
      <c r="F92" s="5">
        <v>21</v>
      </c>
      <c r="G92" t="s">
        <v>253</v>
      </c>
      <c r="H92" t="s">
        <v>254</v>
      </c>
      <c r="I92" t="s">
        <v>283</v>
      </c>
      <c r="J92" s="5">
        <v>2</v>
      </c>
      <c r="K92" s="3" t="str" cm="1">
        <f t="array" ref="K92">_xlfn.IFS(J92&lt;=5, "0-5", J92&lt;=10, "6-10", J92&lt;=15, "11-15", J92&lt;=20, "16-20", J92&gt;20, "21+")</f>
        <v>0-5</v>
      </c>
      <c r="L92" t="s">
        <v>40</v>
      </c>
      <c r="M92" s="4" t="str">
        <f t="shared" ref="M92" si="41">_xlfn.TEXTAFTER(L92, " ")</f>
        <v>100</v>
      </c>
      <c r="N92" s="4">
        <f t="shared" si="31"/>
        <v>100</v>
      </c>
      <c r="O92" s="5">
        <v>1.6</v>
      </c>
      <c r="P92" t="s">
        <v>27</v>
      </c>
      <c r="Q92" t="s">
        <v>28</v>
      </c>
      <c r="R92" s="1">
        <v>0.97</v>
      </c>
      <c r="S92" s="6">
        <f t="shared" si="40"/>
        <v>0.97</v>
      </c>
    </row>
    <row r="93" spans="1:19" ht="13.5" x14ac:dyDescent="0.25">
      <c r="A93" t="s">
        <v>447</v>
      </c>
      <c r="B93" t="s">
        <v>448</v>
      </c>
      <c r="C93" t="str">
        <f t="shared" si="22"/>
        <v>Miranda Hutchinson</v>
      </c>
      <c r="D93" t="s">
        <v>22</v>
      </c>
      <c r="E93" s="3" t="str">
        <f t="shared" si="30"/>
        <v>Female</v>
      </c>
      <c r="F93" s="5">
        <v>57</v>
      </c>
      <c r="G93" t="s">
        <v>125</v>
      </c>
      <c r="H93" t="s">
        <v>39</v>
      </c>
      <c r="I93" t="s">
        <v>288</v>
      </c>
      <c r="J93" s="5">
        <v>18</v>
      </c>
      <c r="K93" s="3" t="str" cm="1">
        <f t="array" ref="K93">_xlfn.IFS(J93&lt;=5, "0-5", J93&lt;=10, "6-10", J93&lt;=15, "11-15", J93&lt;=20, "16-20", J93&gt;20, "21+")</f>
        <v>16-20</v>
      </c>
      <c r="L93">
        <v>50</v>
      </c>
      <c r="M93" s="4">
        <f>L93</f>
        <v>50</v>
      </c>
      <c r="N93" s="4">
        <f t="shared" si="31"/>
        <v>50</v>
      </c>
      <c r="O93" s="5">
        <v>2.4</v>
      </c>
      <c r="P93">
        <v>1</v>
      </c>
      <c r="Q93" t="s">
        <v>28</v>
      </c>
      <c r="R93" s="1">
        <v>0.63</v>
      </c>
      <c r="S93" s="6">
        <f t="shared" si="40"/>
        <v>0.63</v>
      </c>
    </row>
    <row r="94" spans="1:19" ht="13.5" x14ac:dyDescent="0.25">
      <c r="A94" t="s">
        <v>449</v>
      </c>
      <c r="B94" t="s">
        <v>450</v>
      </c>
      <c r="C94" t="str">
        <f t="shared" si="22"/>
        <v>Paul Richardson</v>
      </c>
      <c r="D94" t="s">
        <v>31</v>
      </c>
      <c r="E94" s="3" t="str">
        <f t="shared" si="30"/>
        <v>Male</v>
      </c>
      <c r="F94" s="5">
        <v>53</v>
      </c>
      <c r="G94" t="s">
        <v>165</v>
      </c>
      <c r="H94" t="s">
        <v>166</v>
      </c>
      <c r="I94" t="s">
        <v>286</v>
      </c>
      <c r="J94" s="5">
        <v>21</v>
      </c>
      <c r="K94" s="3" t="str" cm="1">
        <f t="array" ref="K94">_xlfn.IFS(J94&lt;=5, "0-5", J94&lt;=10, "6-10", J94&lt;=15, "11-15", J94&lt;=20, "16-20", J94&gt;20, "21+")</f>
        <v>21+</v>
      </c>
      <c r="L94" t="s">
        <v>40</v>
      </c>
      <c r="M94" s="4" t="str">
        <f t="shared" ref="M94:M95" si="42">_xlfn.TEXTAFTER(L94, " ")</f>
        <v>100</v>
      </c>
      <c r="N94" s="4">
        <f t="shared" si="31"/>
        <v>100</v>
      </c>
      <c r="P94" t="s">
        <v>57</v>
      </c>
      <c r="Q94" t="s">
        <v>28</v>
      </c>
      <c r="R94" s="1">
        <v>0.97</v>
      </c>
      <c r="S94" s="6">
        <f t="shared" si="40"/>
        <v>0.97</v>
      </c>
    </row>
    <row r="95" spans="1:19" ht="13.5" x14ac:dyDescent="0.25">
      <c r="A95" t="s">
        <v>451</v>
      </c>
      <c r="B95" t="s">
        <v>452</v>
      </c>
      <c r="C95" t="str">
        <f t="shared" si="22"/>
        <v>Jose Jones</v>
      </c>
      <c r="D95" t="s">
        <v>328</v>
      </c>
      <c r="E95" s="3" t="str">
        <f t="shared" si="30"/>
        <v>Male</v>
      </c>
      <c r="F95" s="5">
        <v>35</v>
      </c>
      <c r="G95" t="s">
        <v>95</v>
      </c>
      <c r="H95" t="s">
        <v>96</v>
      </c>
      <c r="I95" t="s">
        <v>292</v>
      </c>
      <c r="J95" s="5">
        <v>3</v>
      </c>
      <c r="K95" s="3" t="str" cm="1">
        <f t="array" ref="K95">_xlfn.IFS(J95&lt;=5, "0-5", J95&lt;=10, "6-10", J95&lt;=15, "11-15", J95&lt;=20, "16-20", J95&gt;20, "21+")</f>
        <v>0-5</v>
      </c>
      <c r="L95" t="s">
        <v>72</v>
      </c>
      <c r="M95" s="4" t="str">
        <f t="shared" si="42"/>
        <v>30</v>
      </c>
      <c r="N95" s="4">
        <f t="shared" si="31"/>
        <v>30</v>
      </c>
      <c r="O95" s="5">
        <v>3.8</v>
      </c>
      <c r="P95" t="s">
        <v>27</v>
      </c>
      <c r="Q95" t="s">
        <v>28</v>
      </c>
      <c r="R95" s="1">
        <v>0.81</v>
      </c>
      <c r="S95" s="6">
        <f t="shared" si="40"/>
        <v>0.81</v>
      </c>
    </row>
    <row r="96" spans="1:19" ht="13.5" x14ac:dyDescent="0.25">
      <c r="A96" t="s">
        <v>453</v>
      </c>
      <c r="B96" t="s">
        <v>454</v>
      </c>
      <c r="C96" t="str">
        <f t="shared" si="22"/>
        <v>Denise Smith</v>
      </c>
      <c r="D96" t="s">
        <v>37</v>
      </c>
      <c r="E96" s="3" t="str">
        <f t="shared" si="30"/>
        <v>Female</v>
      </c>
      <c r="F96" s="5">
        <v>54</v>
      </c>
      <c r="G96" t="s">
        <v>165</v>
      </c>
      <c r="H96" t="s">
        <v>166</v>
      </c>
      <c r="I96" t="s">
        <v>284</v>
      </c>
      <c r="J96" s="5">
        <v>17</v>
      </c>
      <c r="K96" s="3" t="str" cm="1">
        <f t="array" ref="K96">_xlfn.IFS(J96&lt;=5, "0-5", J96&lt;=10, "6-10", J96&lt;=15, "11-15", J96&lt;=20, "16-20", J96&gt;20, "21+")</f>
        <v>16-20</v>
      </c>
      <c r="L96">
        <v>20</v>
      </c>
      <c r="M96" s="4">
        <f t="shared" ref="M96:M99" si="43">L96</f>
        <v>20</v>
      </c>
      <c r="N96" s="4">
        <f t="shared" si="31"/>
        <v>20</v>
      </c>
      <c r="O96" s="5">
        <v>1.7</v>
      </c>
      <c r="P96">
        <v>0</v>
      </c>
      <c r="Q96" t="s">
        <v>54</v>
      </c>
      <c r="R96" s="1">
        <v>0.69</v>
      </c>
      <c r="S96" s="6">
        <f t="shared" si="40"/>
        <v>0.69</v>
      </c>
    </row>
    <row r="97" spans="1:19" ht="13.5" x14ac:dyDescent="0.25">
      <c r="A97" t="s">
        <v>455</v>
      </c>
      <c r="B97" t="s">
        <v>456</v>
      </c>
      <c r="C97" t="str">
        <f t="shared" si="22"/>
        <v>Shelby Mcmahon</v>
      </c>
      <c r="D97" t="s">
        <v>21</v>
      </c>
      <c r="E97" s="3" t="str">
        <f t="shared" si="30"/>
        <v>Female</v>
      </c>
      <c r="F97" s="5">
        <v>36</v>
      </c>
      <c r="G97" t="s">
        <v>253</v>
      </c>
      <c r="H97" t="s">
        <v>254</v>
      </c>
      <c r="I97" t="s">
        <v>286</v>
      </c>
      <c r="J97" s="5">
        <v>0</v>
      </c>
      <c r="K97" s="3" t="str" cm="1">
        <f t="array" ref="K97">_xlfn.IFS(J97&lt;=5, "0-5", J97&lt;=10, "6-10", J97&lt;=15, "11-15", J97&lt;=20, "16-20", J97&gt;20, "21+")</f>
        <v>0-5</v>
      </c>
      <c r="L97">
        <v>20</v>
      </c>
      <c r="M97" s="4">
        <f t="shared" si="43"/>
        <v>20</v>
      </c>
      <c r="N97" s="4">
        <f t="shared" si="31"/>
        <v>20</v>
      </c>
      <c r="O97" s="5">
        <v>1.3</v>
      </c>
      <c r="P97" t="s">
        <v>57</v>
      </c>
      <c r="Q97" t="s">
        <v>28</v>
      </c>
      <c r="R97" s="1">
        <v>0.64</v>
      </c>
      <c r="S97" s="6">
        <f t="shared" si="40"/>
        <v>0.64</v>
      </c>
    </row>
    <row r="98" spans="1:19" ht="13.5" x14ac:dyDescent="0.25">
      <c r="A98" t="s">
        <v>457</v>
      </c>
      <c r="B98" t="s">
        <v>458</v>
      </c>
      <c r="C98" t="str">
        <f t="shared" si="22"/>
        <v>Bethany Wright</v>
      </c>
      <c r="D98" t="s">
        <v>37</v>
      </c>
      <c r="E98" s="3" t="str">
        <f t="shared" si="30"/>
        <v>Female</v>
      </c>
      <c r="F98" s="5">
        <v>49</v>
      </c>
      <c r="G98" t="s">
        <v>84</v>
      </c>
      <c r="H98" t="s">
        <v>24</v>
      </c>
      <c r="I98" t="s">
        <v>288</v>
      </c>
      <c r="J98" s="5">
        <v>25</v>
      </c>
      <c r="K98" s="3" t="str" cm="1">
        <f t="array" ref="K98">_xlfn.IFS(J98&lt;=5, "0-5", J98&lt;=10, "6-10", J98&lt;=15, "11-15", J98&lt;=20, "16-20", J98&gt;20, "21+")</f>
        <v>21+</v>
      </c>
      <c r="L98">
        <v>50</v>
      </c>
      <c r="M98" s="4">
        <f t="shared" si="43"/>
        <v>50</v>
      </c>
      <c r="N98" s="4">
        <f t="shared" si="31"/>
        <v>50</v>
      </c>
      <c r="O98" s="5">
        <v>5</v>
      </c>
      <c r="P98" t="s">
        <v>64</v>
      </c>
      <c r="Q98" t="s">
        <v>54</v>
      </c>
      <c r="R98" s="1">
        <v>0.77</v>
      </c>
      <c r="S98" s="6">
        <f t="shared" si="40"/>
        <v>0.77</v>
      </c>
    </row>
    <row r="99" spans="1:19" ht="13.5" x14ac:dyDescent="0.25">
      <c r="A99" t="s">
        <v>459</v>
      </c>
      <c r="B99" t="s">
        <v>460</v>
      </c>
      <c r="C99" t="str">
        <f t="shared" si="22"/>
        <v>David Ortiz</v>
      </c>
      <c r="D99" t="s">
        <v>32</v>
      </c>
      <c r="E99" s="3" t="str">
        <f t="shared" si="30"/>
        <v>Male</v>
      </c>
      <c r="F99" s="5">
        <v>37</v>
      </c>
      <c r="G99" t="s">
        <v>183</v>
      </c>
      <c r="H99" t="s">
        <v>39</v>
      </c>
      <c r="I99" t="s">
        <v>292</v>
      </c>
      <c r="J99" s="5">
        <v>17</v>
      </c>
      <c r="K99" s="3" t="str" cm="1">
        <f t="array" ref="K99">_xlfn.IFS(J99&lt;=5, "0-5", J99&lt;=10, "6-10", J99&lt;=15, "11-15", J99&lt;=20, "16-20", J99&gt;20, "21+")</f>
        <v>16-20</v>
      </c>
      <c r="L99">
        <v>20</v>
      </c>
      <c r="M99" s="4">
        <f t="shared" si="43"/>
        <v>20</v>
      </c>
      <c r="N99" s="4">
        <f t="shared" si="31"/>
        <v>20</v>
      </c>
      <c r="O99" s="5">
        <v>3.3</v>
      </c>
      <c r="P99">
        <v>0</v>
      </c>
      <c r="Q99" t="s">
        <v>54</v>
      </c>
      <c r="R99">
        <v>96</v>
      </c>
      <c r="S99" s="6">
        <f>R99/100</f>
        <v>0.96</v>
      </c>
    </row>
    <row r="100" spans="1:19" ht="13.5" x14ac:dyDescent="0.25">
      <c r="A100" t="s">
        <v>461</v>
      </c>
      <c r="B100" t="s">
        <v>462</v>
      </c>
      <c r="C100" t="str">
        <f t="shared" si="22"/>
        <v>Andrew Lynch</v>
      </c>
      <c r="D100" t="s">
        <v>311</v>
      </c>
      <c r="E100" s="3" t="str">
        <f t="shared" si="30"/>
        <v>Male</v>
      </c>
      <c r="G100" t="s">
        <v>183</v>
      </c>
      <c r="H100" t="s">
        <v>39</v>
      </c>
      <c r="I100" t="s">
        <v>286</v>
      </c>
      <c r="J100" s="5">
        <v>5</v>
      </c>
      <c r="K100" s="3" t="str" cm="1">
        <f t="array" ref="K100">_xlfn.IFS(J100&lt;=5, "0-5", J100&lt;=10, "6-10", J100&lt;=15, "11-15", J100&lt;=20, "16-20", J100&gt;20, "21+")</f>
        <v>0-5</v>
      </c>
      <c r="L100" s="2">
        <v>20</v>
      </c>
      <c r="M100" s="4" t="str">
        <f>SUBSTITUTE(L100, "$","")</f>
        <v>20</v>
      </c>
      <c r="N100" s="4">
        <f t="shared" si="31"/>
        <v>20</v>
      </c>
      <c r="O100" s="5">
        <v>1.1000000000000001</v>
      </c>
      <c r="P100" t="s">
        <v>81</v>
      </c>
      <c r="Q100" t="s">
        <v>54</v>
      </c>
      <c r="R100" s="1">
        <v>0.74</v>
      </c>
      <c r="S100" s="6">
        <f t="shared" ref="S100:S102" si="44">R100</f>
        <v>0.74</v>
      </c>
    </row>
    <row r="101" spans="1:19" ht="13.5" x14ac:dyDescent="0.25">
      <c r="A101" t="s">
        <v>463</v>
      </c>
      <c r="B101" t="s">
        <v>464</v>
      </c>
      <c r="C101" t="str">
        <f t="shared" si="22"/>
        <v>Kristopher Meyers</v>
      </c>
      <c r="D101" t="s">
        <v>43</v>
      </c>
      <c r="E101" s="3" t="str">
        <f t="shared" si="30"/>
        <v>Male</v>
      </c>
      <c r="F101" s="5">
        <v>32</v>
      </c>
      <c r="G101" t="s">
        <v>117</v>
      </c>
      <c r="H101" t="s">
        <v>118</v>
      </c>
      <c r="I101" t="s">
        <v>286</v>
      </c>
      <c r="J101" s="5">
        <v>10</v>
      </c>
      <c r="K101" s="3" t="str" cm="1">
        <f t="array" ref="K101">_xlfn.IFS(J101&lt;=5, "0-5", J101&lt;=10, "6-10", J101&lt;=15, "11-15", J101&lt;=20, "16-20", J101&gt;20, "21+")</f>
        <v>6-10</v>
      </c>
      <c r="L101">
        <v>50</v>
      </c>
      <c r="M101" s="4">
        <f>L101</f>
        <v>50</v>
      </c>
      <c r="N101" s="4">
        <f t="shared" si="31"/>
        <v>50</v>
      </c>
      <c r="O101" s="5">
        <v>1.2</v>
      </c>
      <c r="P101" t="b">
        <v>0</v>
      </c>
      <c r="Q101" t="s">
        <v>54</v>
      </c>
      <c r="R101" s="1">
        <v>0.89</v>
      </c>
      <c r="S101" s="6">
        <f t="shared" si="44"/>
        <v>0.89</v>
      </c>
    </row>
    <row r="102" spans="1:19" ht="13.5" x14ac:dyDescent="0.25">
      <c r="A102" t="s">
        <v>465</v>
      </c>
      <c r="B102" t="s">
        <v>466</v>
      </c>
      <c r="C102" t="str">
        <f t="shared" si="22"/>
        <v>Thomas Roth</v>
      </c>
      <c r="D102" t="s">
        <v>43</v>
      </c>
      <c r="E102" s="3" t="str">
        <f t="shared" si="30"/>
        <v>Male</v>
      </c>
      <c r="F102" s="5">
        <v>35</v>
      </c>
      <c r="G102" t="s">
        <v>146</v>
      </c>
      <c r="H102" t="s">
        <v>147</v>
      </c>
      <c r="I102" t="s">
        <v>285</v>
      </c>
      <c r="J102" s="5">
        <v>0</v>
      </c>
      <c r="K102" s="3" t="str" cm="1">
        <f t="array" ref="K102">_xlfn.IFS(J102&lt;=5, "0-5", J102&lt;=10, "6-10", J102&lt;=15, "11-15", J102&lt;=20, "16-20", J102&gt;20, "21+")</f>
        <v>0-5</v>
      </c>
      <c r="N102" s="4" t="str">
        <f t="shared" si="31"/>
        <v>NA</v>
      </c>
      <c r="O102" s="5">
        <v>2</v>
      </c>
      <c r="P102">
        <v>1</v>
      </c>
      <c r="Q102" t="s">
        <v>28</v>
      </c>
      <c r="R102" s="1">
        <v>0.64</v>
      </c>
      <c r="S102" s="6">
        <f t="shared" si="44"/>
        <v>0.64</v>
      </c>
    </row>
    <row r="103" spans="1:19" ht="13.5" x14ac:dyDescent="0.25">
      <c r="A103" t="s">
        <v>467</v>
      </c>
      <c r="B103" t="s">
        <v>468</v>
      </c>
      <c r="C103" t="str">
        <f t="shared" si="22"/>
        <v>Vicki Brown</v>
      </c>
      <c r="D103" t="s">
        <v>37</v>
      </c>
      <c r="E103" s="3" t="str">
        <f t="shared" si="30"/>
        <v>Female</v>
      </c>
      <c r="F103" s="5">
        <v>51</v>
      </c>
      <c r="G103" t="s">
        <v>95</v>
      </c>
      <c r="H103" t="s">
        <v>96</v>
      </c>
      <c r="I103" t="s">
        <v>287</v>
      </c>
      <c r="J103" s="5">
        <v>2</v>
      </c>
      <c r="K103" s="3" t="str" cm="1">
        <f t="array" ref="K103">_xlfn.IFS(J103&lt;=5, "0-5", J103&lt;=10, "6-10", J103&lt;=15, "11-15", J103&lt;=20, "16-20", J103&gt;20, "21+")</f>
        <v>0-5</v>
      </c>
      <c r="L103" s="2">
        <v>30</v>
      </c>
      <c r="M103" s="4" t="str">
        <f>SUBSTITUTE(L103, "$","")</f>
        <v>30</v>
      </c>
      <c r="N103" s="4">
        <f t="shared" si="31"/>
        <v>30</v>
      </c>
      <c r="O103" s="5">
        <v>4.5</v>
      </c>
      <c r="P103">
        <v>0</v>
      </c>
      <c r="Q103" t="s">
        <v>54</v>
      </c>
      <c r="R103">
        <v>64</v>
      </c>
      <c r="S103" s="6">
        <f>R103/100</f>
        <v>0.64</v>
      </c>
    </row>
    <row r="104" spans="1:19" ht="13.5" x14ac:dyDescent="0.25">
      <c r="A104" t="s">
        <v>469</v>
      </c>
      <c r="B104" t="s">
        <v>470</v>
      </c>
      <c r="C104" t="str">
        <f t="shared" si="22"/>
        <v>Stacy Sutton</v>
      </c>
      <c r="D104" t="s">
        <v>37</v>
      </c>
      <c r="E104" s="3" t="str">
        <f t="shared" si="30"/>
        <v>Female</v>
      </c>
      <c r="F104" s="5">
        <v>50</v>
      </c>
      <c r="G104" t="s">
        <v>95</v>
      </c>
      <c r="H104" t="s">
        <v>96</v>
      </c>
      <c r="I104" t="s">
        <v>283</v>
      </c>
      <c r="J104" s="5">
        <v>30</v>
      </c>
      <c r="K104" s="3" t="str" cm="1">
        <f t="array" ref="K104">_xlfn.IFS(J104&lt;=5, "0-5", J104&lt;=10, "6-10", J104&lt;=15, "11-15", J104&lt;=20, "16-20", J104&gt;20, "21+")</f>
        <v>21+</v>
      </c>
      <c r="L104">
        <v>100</v>
      </c>
      <c r="M104" s="4">
        <f>L104</f>
        <v>100</v>
      </c>
      <c r="N104" s="4">
        <f t="shared" si="31"/>
        <v>100</v>
      </c>
      <c r="O104" s="5">
        <v>3</v>
      </c>
      <c r="P104">
        <v>1</v>
      </c>
      <c r="Q104" t="s">
        <v>28</v>
      </c>
      <c r="R104" s="1">
        <v>0.73</v>
      </c>
      <c r="S104" s="6">
        <f t="shared" ref="S104:S107" si="45">R104</f>
        <v>0.73</v>
      </c>
    </row>
    <row r="105" spans="1:19" ht="13.5" x14ac:dyDescent="0.25">
      <c r="A105" t="s">
        <v>471</v>
      </c>
      <c r="B105" t="s">
        <v>472</v>
      </c>
      <c r="C105" t="str">
        <f t="shared" si="22"/>
        <v>Kimberly Holland</v>
      </c>
      <c r="D105" t="s">
        <v>37</v>
      </c>
      <c r="E105" s="3" t="str">
        <f t="shared" si="30"/>
        <v>Female</v>
      </c>
      <c r="F105" s="5">
        <v>21</v>
      </c>
      <c r="G105" t="s">
        <v>67</v>
      </c>
      <c r="H105" t="s">
        <v>68</v>
      </c>
      <c r="I105" t="s">
        <v>292</v>
      </c>
      <c r="J105" s="5">
        <v>2</v>
      </c>
      <c r="K105" s="3" t="str" cm="1">
        <f t="array" ref="K105">_xlfn.IFS(J105&lt;=5, "0-5", J105&lt;=10, "6-10", J105&lt;=15, "11-15", J105&lt;=20, "16-20", J105&gt;20, "21+")</f>
        <v>0-5</v>
      </c>
      <c r="L105" s="2">
        <v>50</v>
      </c>
      <c r="M105" s="4" t="str">
        <f t="shared" ref="M105:M107" si="46">SUBSTITUTE(L105, "$","")</f>
        <v>50</v>
      </c>
      <c r="N105" s="4">
        <f t="shared" si="31"/>
        <v>50</v>
      </c>
      <c r="O105" s="5">
        <v>4.9000000000000004</v>
      </c>
      <c r="P105" t="s">
        <v>27</v>
      </c>
      <c r="Q105" t="s">
        <v>28</v>
      </c>
      <c r="R105" s="1">
        <v>0.68</v>
      </c>
      <c r="S105" s="6">
        <f t="shared" si="45"/>
        <v>0.68</v>
      </c>
    </row>
    <row r="106" spans="1:19" ht="13.5" x14ac:dyDescent="0.25">
      <c r="A106" t="s">
        <v>473</v>
      </c>
      <c r="B106" t="s">
        <v>474</v>
      </c>
      <c r="C106" t="str">
        <f t="shared" si="22"/>
        <v>Travis Richardson</v>
      </c>
      <c r="D106" t="s">
        <v>311</v>
      </c>
      <c r="E106" s="3" t="str">
        <f t="shared" si="30"/>
        <v>Male</v>
      </c>
      <c r="F106" s="5">
        <v>25</v>
      </c>
      <c r="G106" t="s">
        <v>183</v>
      </c>
      <c r="H106" t="s">
        <v>39</v>
      </c>
      <c r="I106" t="s">
        <v>287</v>
      </c>
      <c r="J106" s="5">
        <v>3</v>
      </c>
      <c r="K106" s="3" t="str" cm="1">
        <f t="array" ref="K106">_xlfn.IFS(J106&lt;=5, "0-5", J106&lt;=10, "6-10", J106&lt;=15, "11-15", J106&lt;=20, "16-20", J106&gt;20, "21+")</f>
        <v>0-5</v>
      </c>
      <c r="L106" s="2">
        <v>30</v>
      </c>
      <c r="M106" s="4" t="str">
        <f t="shared" si="46"/>
        <v>30</v>
      </c>
      <c r="N106" s="4">
        <f t="shared" si="31"/>
        <v>30</v>
      </c>
      <c r="P106" t="s">
        <v>81</v>
      </c>
      <c r="Q106" t="s">
        <v>54</v>
      </c>
      <c r="R106" s="1">
        <v>0.88</v>
      </c>
      <c r="S106" s="6">
        <f t="shared" si="45"/>
        <v>0.88</v>
      </c>
    </row>
    <row r="107" spans="1:19" ht="13.5" x14ac:dyDescent="0.25">
      <c r="A107" t="s">
        <v>475</v>
      </c>
      <c r="B107" t="s">
        <v>476</v>
      </c>
      <c r="C107" t="str">
        <f t="shared" si="22"/>
        <v>Jasmin Ho</v>
      </c>
      <c r="D107" t="s">
        <v>21</v>
      </c>
      <c r="E107" s="3" t="str">
        <f t="shared" si="30"/>
        <v>Female</v>
      </c>
      <c r="F107" s="5">
        <v>57</v>
      </c>
      <c r="G107" t="s">
        <v>132</v>
      </c>
      <c r="H107" t="s">
        <v>133</v>
      </c>
      <c r="I107" t="s">
        <v>283</v>
      </c>
      <c r="J107" s="5">
        <v>21</v>
      </c>
      <c r="K107" s="3" t="str" cm="1">
        <f t="array" ref="K107">_xlfn.IFS(J107&lt;=5, "0-5", J107&lt;=10, "6-10", J107&lt;=15, "11-15", J107&lt;=20, "16-20", J107&gt;20, "21+")</f>
        <v>21+</v>
      </c>
      <c r="L107" s="2">
        <v>40</v>
      </c>
      <c r="M107" s="4" t="str">
        <f t="shared" si="46"/>
        <v>40</v>
      </c>
      <c r="N107" s="4">
        <f t="shared" si="31"/>
        <v>40</v>
      </c>
      <c r="O107" s="5">
        <v>2.5</v>
      </c>
      <c r="P107">
        <v>0</v>
      </c>
      <c r="Q107" t="s">
        <v>54</v>
      </c>
      <c r="R107" s="1">
        <v>0.77</v>
      </c>
      <c r="S107" s="6">
        <f t="shared" si="45"/>
        <v>0.77</v>
      </c>
    </row>
    <row r="108" spans="1:19" ht="13.5" x14ac:dyDescent="0.25">
      <c r="A108" t="s">
        <v>477</v>
      </c>
      <c r="B108" t="s">
        <v>478</v>
      </c>
      <c r="C108" t="str">
        <f t="shared" si="22"/>
        <v>Mark Paul</v>
      </c>
      <c r="D108" t="s">
        <v>43</v>
      </c>
      <c r="E108" s="3" t="str">
        <f t="shared" si="30"/>
        <v>Male</v>
      </c>
      <c r="F108" s="5">
        <v>58</v>
      </c>
      <c r="G108" t="s">
        <v>95</v>
      </c>
      <c r="H108" t="s">
        <v>96</v>
      </c>
      <c r="I108" t="s">
        <v>292</v>
      </c>
      <c r="J108" s="5">
        <v>3</v>
      </c>
      <c r="K108" s="3" t="str" cm="1">
        <f t="array" ref="K108">_xlfn.IFS(J108&lt;=5, "0-5", J108&lt;=10, "6-10", J108&lt;=15, "11-15", J108&lt;=20, "16-20", J108&gt;20, "21+")</f>
        <v>0-5</v>
      </c>
      <c r="N108" s="4" t="str">
        <f t="shared" si="31"/>
        <v>NA</v>
      </c>
      <c r="O108" s="5">
        <v>0</v>
      </c>
      <c r="P108">
        <v>1</v>
      </c>
      <c r="Q108" t="s">
        <v>28</v>
      </c>
      <c r="S108" s="7"/>
    </row>
    <row r="109" spans="1:19" ht="13.5" x14ac:dyDescent="0.25">
      <c r="A109" t="s">
        <v>479</v>
      </c>
      <c r="B109" t="s">
        <v>480</v>
      </c>
      <c r="C109" t="str">
        <f t="shared" si="22"/>
        <v>Jennifer Lewis</v>
      </c>
      <c r="D109" t="s">
        <v>301</v>
      </c>
      <c r="E109" s="3" t="str">
        <f t="shared" si="30"/>
        <v>Female</v>
      </c>
      <c r="F109" s="5">
        <v>45</v>
      </c>
      <c r="G109" t="s">
        <v>104</v>
      </c>
      <c r="H109" t="s">
        <v>105</v>
      </c>
      <c r="I109" t="s">
        <v>285</v>
      </c>
      <c r="J109" s="5">
        <v>19</v>
      </c>
      <c r="K109" s="3" t="str" cm="1">
        <f t="array" ref="K109">_xlfn.IFS(J109&lt;=5, "0-5", J109&lt;=10, "6-10", J109&lt;=15, "11-15", J109&lt;=20, "16-20", J109&gt;20, "21+")</f>
        <v>16-20</v>
      </c>
      <c r="L109">
        <v>40</v>
      </c>
      <c r="M109" s="4">
        <f t="shared" ref="M109:M110" si="47">L109</f>
        <v>40</v>
      </c>
      <c r="N109" s="4">
        <f t="shared" si="31"/>
        <v>40</v>
      </c>
      <c r="P109">
        <v>1</v>
      </c>
      <c r="Q109" t="s">
        <v>28</v>
      </c>
      <c r="R109" s="1">
        <v>0.72</v>
      </c>
      <c r="S109" s="6">
        <f t="shared" ref="S109:S110" si="48">R109</f>
        <v>0.72</v>
      </c>
    </row>
    <row r="110" spans="1:19" ht="13.5" x14ac:dyDescent="0.25">
      <c r="A110" t="s">
        <v>481</v>
      </c>
      <c r="B110" t="s">
        <v>482</v>
      </c>
      <c r="C110" t="str">
        <f t="shared" si="22"/>
        <v>Elizabeth Lester</v>
      </c>
      <c r="D110" t="s">
        <v>301</v>
      </c>
      <c r="E110" s="3" t="str">
        <f t="shared" si="30"/>
        <v>Female</v>
      </c>
      <c r="F110" s="5">
        <v>23</v>
      </c>
      <c r="G110" t="s">
        <v>183</v>
      </c>
      <c r="H110" t="s">
        <v>39</v>
      </c>
      <c r="I110" t="s">
        <v>290</v>
      </c>
      <c r="J110" s="5">
        <v>0</v>
      </c>
      <c r="K110" s="3" t="str" cm="1">
        <f t="array" ref="K110">_xlfn.IFS(J110&lt;=5, "0-5", J110&lt;=10, "6-10", J110&lt;=15, "11-15", J110&lt;=20, "16-20", J110&gt;20, "21+")</f>
        <v>0-5</v>
      </c>
      <c r="L110">
        <v>20</v>
      </c>
      <c r="M110" s="4">
        <f t="shared" si="47"/>
        <v>20</v>
      </c>
      <c r="N110" s="4">
        <f t="shared" si="31"/>
        <v>20</v>
      </c>
      <c r="O110" s="5">
        <v>4.7</v>
      </c>
      <c r="P110" t="s">
        <v>57</v>
      </c>
      <c r="Q110" t="s">
        <v>28</v>
      </c>
      <c r="R110" s="1">
        <v>0.6</v>
      </c>
      <c r="S110" s="6">
        <f t="shared" si="48"/>
        <v>0.6</v>
      </c>
    </row>
    <row r="111" spans="1:19" ht="13.5" x14ac:dyDescent="0.25">
      <c r="A111" t="s">
        <v>279</v>
      </c>
      <c r="B111" t="s">
        <v>280</v>
      </c>
      <c r="C111" t="str">
        <f t="shared" si="22"/>
        <v>Kimberly Griffin</v>
      </c>
      <c r="D111" t="s">
        <v>21</v>
      </c>
      <c r="E111" s="3" t="str">
        <f t="shared" si="30"/>
        <v>Female</v>
      </c>
      <c r="F111" s="5">
        <v>46</v>
      </c>
      <c r="G111" t="s">
        <v>183</v>
      </c>
      <c r="H111" t="s">
        <v>39</v>
      </c>
      <c r="I111" t="s">
        <v>25</v>
      </c>
      <c r="J111" s="5">
        <v>9</v>
      </c>
      <c r="K111" s="3" t="str" cm="1">
        <f t="array" ref="K111">_xlfn.IFS(J111&lt;=5, "0-5", J111&lt;=10, "6-10", J111&lt;=15, "11-15", J111&lt;=20, "16-20", J111&gt;20, "21+")</f>
        <v>6-10</v>
      </c>
      <c r="L111" s="2">
        <v>30</v>
      </c>
      <c r="M111" s="4" t="str">
        <f>SUBSTITUTE(L111, "$","")</f>
        <v>30</v>
      </c>
      <c r="N111" s="4">
        <f t="shared" si="31"/>
        <v>30</v>
      </c>
      <c r="O111" s="5">
        <v>3.5</v>
      </c>
      <c r="R111">
        <v>72</v>
      </c>
      <c r="S111" s="6">
        <f>R111/100</f>
        <v>0.72</v>
      </c>
    </row>
    <row r="112" spans="1:19" ht="13.5" x14ac:dyDescent="0.25">
      <c r="A112" t="s">
        <v>483</v>
      </c>
      <c r="B112" t="s">
        <v>484</v>
      </c>
      <c r="C112" t="str">
        <f t="shared" si="22"/>
        <v>Tyler Warner</v>
      </c>
      <c r="D112" t="s">
        <v>311</v>
      </c>
      <c r="E112" s="3" t="str">
        <f t="shared" si="30"/>
        <v>Male</v>
      </c>
      <c r="F112" s="5">
        <v>27</v>
      </c>
      <c r="G112" t="s">
        <v>23</v>
      </c>
      <c r="H112" t="s">
        <v>24</v>
      </c>
      <c r="I112" t="s">
        <v>286</v>
      </c>
      <c r="J112" s="5">
        <v>5</v>
      </c>
      <c r="K112" s="3" t="str" cm="1">
        <f t="array" ref="K112">_xlfn.IFS(J112&lt;=5, "0-5", J112&lt;=10, "6-10", J112&lt;=15, "11-15", J112&lt;=20, "16-20", J112&gt;20, "21+")</f>
        <v>0-5</v>
      </c>
      <c r="L112">
        <v>30</v>
      </c>
      <c r="M112" s="4">
        <f>L112</f>
        <v>30</v>
      </c>
      <c r="N112" s="4">
        <f t="shared" si="31"/>
        <v>30</v>
      </c>
      <c r="P112" t="s">
        <v>64</v>
      </c>
      <c r="Q112" t="s">
        <v>54</v>
      </c>
      <c r="R112" s="1">
        <v>0.92</v>
      </c>
      <c r="S112" s="6">
        <f>R112</f>
        <v>0.92</v>
      </c>
    </row>
    <row r="113" spans="1:19" ht="13.5" x14ac:dyDescent="0.25">
      <c r="A113" t="s">
        <v>485</v>
      </c>
      <c r="B113" t="s">
        <v>486</v>
      </c>
      <c r="C113" t="str">
        <f t="shared" ref="C113:C176" si="49">B113</f>
        <v>Jane Cox</v>
      </c>
      <c r="D113" t="s">
        <v>21</v>
      </c>
      <c r="E113" s="3" t="str">
        <f t="shared" si="30"/>
        <v>Female</v>
      </c>
      <c r="F113" s="5">
        <v>32</v>
      </c>
      <c r="G113" t="s">
        <v>183</v>
      </c>
      <c r="H113" t="s">
        <v>39</v>
      </c>
      <c r="I113" t="s">
        <v>284</v>
      </c>
      <c r="J113" s="5">
        <v>6</v>
      </c>
      <c r="K113" s="3" t="str" cm="1">
        <f t="array" ref="K113">_xlfn.IFS(J113&lt;=5, "0-5", J113&lt;=10, "6-10", J113&lt;=15, "11-15", J113&lt;=20, "16-20", J113&gt;20, "21+")</f>
        <v>6-10</v>
      </c>
      <c r="L113" t="s">
        <v>112</v>
      </c>
      <c r="M113" s="4" t="str">
        <f t="shared" ref="M113:M114" si="50">_xlfn.TEXTAFTER(L113, " ")</f>
        <v>50</v>
      </c>
      <c r="N113" s="4">
        <f t="shared" si="31"/>
        <v>50</v>
      </c>
      <c r="O113" s="5">
        <v>3.4</v>
      </c>
      <c r="P113">
        <v>1</v>
      </c>
      <c r="Q113" t="s">
        <v>28</v>
      </c>
      <c r="S113" s="7"/>
    </row>
    <row r="114" spans="1:19" ht="13.5" x14ac:dyDescent="0.25">
      <c r="A114" t="s">
        <v>487</v>
      </c>
      <c r="B114" t="s">
        <v>488</v>
      </c>
      <c r="C114" t="str">
        <f t="shared" si="49"/>
        <v>Leah Williams</v>
      </c>
      <c r="D114" t="s">
        <v>37</v>
      </c>
      <c r="E114" s="3" t="str">
        <f t="shared" si="30"/>
        <v>Female</v>
      </c>
      <c r="F114" s="5">
        <v>48</v>
      </c>
      <c r="G114" t="s">
        <v>23</v>
      </c>
      <c r="H114" t="s">
        <v>24</v>
      </c>
      <c r="I114" t="s">
        <v>284</v>
      </c>
      <c r="J114" s="5">
        <v>6</v>
      </c>
      <c r="K114" s="3" t="str" cm="1">
        <f t="array" ref="K114">_xlfn.IFS(J114&lt;=5, "0-5", J114&lt;=10, "6-10", J114&lt;=15, "11-15", J114&lt;=20, "16-20", J114&gt;20, "21+")</f>
        <v>6-10</v>
      </c>
      <c r="L114" t="s">
        <v>92</v>
      </c>
      <c r="M114" s="4" t="str">
        <f t="shared" si="50"/>
        <v>75</v>
      </c>
      <c r="N114" s="4">
        <f t="shared" si="31"/>
        <v>75</v>
      </c>
      <c r="O114" s="5">
        <v>2.5</v>
      </c>
      <c r="R114" s="1">
        <v>0.92</v>
      </c>
      <c r="S114" s="6">
        <f>R114</f>
        <v>0.92</v>
      </c>
    </row>
    <row r="115" spans="1:19" ht="13.5" x14ac:dyDescent="0.25">
      <c r="A115" t="s">
        <v>489</v>
      </c>
      <c r="B115" t="s">
        <v>490</v>
      </c>
      <c r="C115" t="str">
        <f t="shared" si="49"/>
        <v>Kevin Wong</v>
      </c>
      <c r="D115" t="s">
        <v>31</v>
      </c>
      <c r="E115" s="3" t="str">
        <f t="shared" si="30"/>
        <v>Male</v>
      </c>
      <c r="F115" s="5">
        <v>30</v>
      </c>
      <c r="G115" t="s">
        <v>67</v>
      </c>
      <c r="H115" t="s">
        <v>68</v>
      </c>
      <c r="I115" t="s">
        <v>285</v>
      </c>
      <c r="J115" s="5">
        <v>3</v>
      </c>
      <c r="K115" s="3" t="str" cm="1">
        <f t="array" ref="K115">_xlfn.IFS(J115&lt;=5, "0-5", J115&lt;=10, "6-10", J115&lt;=15, "11-15", J115&lt;=20, "16-20", J115&gt;20, "21+")</f>
        <v>0-5</v>
      </c>
      <c r="L115" s="2">
        <v>30</v>
      </c>
      <c r="M115" s="4" t="str">
        <f>SUBSTITUTE(L115, "$","")</f>
        <v>30</v>
      </c>
      <c r="N115" s="4">
        <f t="shared" si="31"/>
        <v>30</v>
      </c>
      <c r="O115" s="5">
        <v>1.1000000000000001</v>
      </c>
      <c r="P115" t="b">
        <v>1</v>
      </c>
      <c r="Q115" t="s">
        <v>28</v>
      </c>
      <c r="S115" s="7"/>
    </row>
    <row r="116" spans="1:19" ht="13.5" x14ac:dyDescent="0.25">
      <c r="A116" t="s">
        <v>277</v>
      </c>
      <c r="B116" t="s">
        <v>278</v>
      </c>
      <c r="C116" t="str">
        <f t="shared" si="49"/>
        <v>Robert Andrews</v>
      </c>
      <c r="D116" t="s">
        <v>32</v>
      </c>
      <c r="E116" s="3" t="str">
        <f t="shared" si="30"/>
        <v>Male</v>
      </c>
      <c r="F116" s="5">
        <v>59</v>
      </c>
      <c r="G116" t="s">
        <v>67</v>
      </c>
      <c r="H116" t="s">
        <v>68</v>
      </c>
      <c r="I116" t="s">
        <v>25</v>
      </c>
      <c r="J116" s="5">
        <v>13</v>
      </c>
      <c r="K116" s="3" t="str" cm="1">
        <f t="array" ref="K116">_xlfn.IFS(J116&lt;=5, "0-5", J116&lt;=10, "6-10", J116&lt;=15, "11-15", J116&lt;=20, "16-20", J116&gt;20, "21+")</f>
        <v>11-15</v>
      </c>
      <c r="L116" t="s">
        <v>78</v>
      </c>
      <c r="M116" s="4" t="str">
        <f t="shared" ref="M116" si="51">_xlfn.TEXTAFTER(L116, " ")</f>
        <v>20</v>
      </c>
      <c r="N116" s="4">
        <f t="shared" si="31"/>
        <v>20</v>
      </c>
      <c r="O116" s="5">
        <v>4.8</v>
      </c>
      <c r="S116" s="7"/>
    </row>
    <row r="117" spans="1:19" ht="13.5" x14ac:dyDescent="0.25">
      <c r="A117" t="s">
        <v>275</v>
      </c>
      <c r="B117" t="s">
        <v>276</v>
      </c>
      <c r="C117" t="str">
        <f t="shared" si="49"/>
        <v>Jessica Torres</v>
      </c>
      <c r="D117" t="s">
        <v>304</v>
      </c>
      <c r="E117" s="3" t="str">
        <f t="shared" si="30"/>
        <v>Female</v>
      </c>
      <c r="F117" s="5">
        <v>32</v>
      </c>
      <c r="G117" t="s">
        <v>44</v>
      </c>
      <c r="H117" t="s">
        <v>24</v>
      </c>
      <c r="I117" t="s">
        <v>25</v>
      </c>
      <c r="J117" s="5">
        <v>5</v>
      </c>
      <c r="K117" s="3" t="str" cm="1">
        <f t="array" ref="K117">_xlfn.IFS(J117&lt;=5, "0-5", J117&lt;=10, "6-10", J117&lt;=15, "11-15", J117&lt;=20, "16-20", J117&gt;20, "21+")</f>
        <v>0-5</v>
      </c>
      <c r="L117" s="2">
        <v>30</v>
      </c>
      <c r="M117" s="4" t="str">
        <f>SUBSTITUTE(L117, "$","")</f>
        <v>30</v>
      </c>
      <c r="N117" s="4">
        <f t="shared" si="31"/>
        <v>30</v>
      </c>
      <c r="P117">
        <v>0</v>
      </c>
      <c r="Q117" t="s">
        <v>54</v>
      </c>
      <c r="R117" s="1">
        <v>0.86</v>
      </c>
      <c r="S117" s="6">
        <f t="shared" ref="S117:S119" si="52">R117</f>
        <v>0.86</v>
      </c>
    </row>
    <row r="118" spans="1:19" ht="13.5" x14ac:dyDescent="0.25">
      <c r="A118" t="s">
        <v>491</v>
      </c>
      <c r="B118" t="s">
        <v>492</v>
      </c>
      <c r="C118" t="str">
        <f t="shared" si="49"/>
        <v>Teresa Kim</v>
      </c>
      <c r="D118" t="s">
        <v>22</v>
      </c>
      <c r="E118" s="3" t="str">
        <f t="shared" si="30"/>
        <v>Female</v>
      </c>
      <c r="F118" s="5">
        <v>57</v>
      </c>
      <c r="G118" t="s">
        <v>117</v>
      </c>
      <c r="H118" t="s">
        <v>118</v>
      </c>
      <c r="I118" t="s">
        <v>286</v>
      </c>
      <c r="J118" s="5">
        <v>4</v>
      </c>
      <c r="K118" s="3" t="str" cm="1">
        <f t="array" ref="K118">_xlfn.IFS(J118&lt;=5, "0-5", J118&lt;=10, "6-10", J118&lt;=15, "11-15", J118&lt;=20, "16-20", J118&gt;20, "21+")</f>
        <v>0-5</v>
      </c>
      <c r="L118" t="s">
        <v>99</v>
      </c>
      <c r="M118" s="4" t="str">
        <f t="shared" ref="M118:M119" si="53">_xlfn.TEXTAFTER(L118, " ")</f>
        <v>40</v>
      </c>
      <c r="N118" s="4">
        <f t="shared" si="31"/>
        <v>40</v>
      </c>
      <c r="O118" s="5">
        <v>3.4</v>
      </c>
      <c r="P118">
        <v>1</v>
      </c>
      <c r="Q118" t="s">
        <v>28</v>
      </c>
      <c r="R118" s="1">
        <v>0.68</v>
      </c>
      <c r="S118" s="6">
        <f t="shared" si="52"/>
        <v>0.68</v>
      </c>
    </row>
    <row r="119" spans="1:19" ht="13.5" x14ac:dyDescent="0.25">
      <c r="A119" t="s">
        <v>493</v>
      </c>
      <c r="B119" t="s">
        <v>494</v>
      </c>
      <c r="C119" t="str">
        <f t="shared" si="49"/>
        <v>Jon Morgan</v>
      </c>
      <c r="D119" t="s">
        <v>311</v>
      </c>
      <c r="E119" s="3" t="str">
        <f t="shared" si="30"/>
        <v>Male</v>
      </c>
      <c r="F119" s="5">
        <v>27</v>
      </c>
      <c r="G119" t="s">
        <v>38</v>
      </c>
      <c r="H119" t="s">
        <v>39</v>
      </c>
      <c r="I119" t="s">
        <v>284</v>
      </c>
      <c r="J119" s="5">
        <v>7</v>
      </c>
      <c r="K119" s="3" t="str" cm="1">
        <f t="array" ref="K119">_xlfn.IFS(J119&lt;=5, "0-5", J119&lt;=10, "6-10", J119&lt;=15, "11-15", J119&lt;=20, "16-20", J119&gt;20, "21+")</f>
        <v>6-10</v>
      </c>
      <c r="L119" t="s">
        <v>78</v>
      </c>
      <c r="M119" s="4" t="str">
        <f t="shared" si="53"/>
        <v>20</v>
      </c>
      <c r="N119" s="4">
        <f t="shared" si="31"/>
        <v>20</v>
      </c>
      <c r="O119" s="5">
        <v>3.2</v>
      </c>
      <c r="P119">
        <v>1</v>
      </c>
      <c r="Q119" t="s">
        <v>28</v>
      </c>
      <c r="R119" s="1">
        <v>0.62</v>
      </c>
      <c r="S119" s="6">
        <f t="shared" si="52"/>
        <v>0.62</v>
      </c>
    </row>
    <row r="120" spans="1:19" ht="13.5" x14ac:dyDescent="0.25">
      <c r="A120" t="s">
        <v>495</v>
      </c>
      <c r="B120" t="s">
        <v>496</v>
      </c>
      <c r="C120" t="str">
        <f t="shared" si="49"/>
        <v>Gloria Chaney</v>
      </c>
      <c r="D120" t="s">
        <v>301</v>
      </c>
      <c r="E120" s="3" t="str">
        <f t="shared" si="30"/>
        <v>Female</v>
      </c>
      <c r="F120" s="5">
        <v>33</v>
      </c>
      <c r="G120" t="s">
        <v>104</v>
      </c>
      <c r="H120" t="s">
        <v>105</v>
      </c>
      <c r="I120" t="s">
        <v>284</v>
      </c>
      <c r="J120" s="5">
        <v>13</v>
      </c>
      <c r="K120" s="3" t="str" cm="1">
        <f t="array" ref="K120">_xlfn.IFS(J120&lt;=5, "0-5", J120&lt;=10, "6-10", J120&lt;=15, "11-15", J120&lt;=20, "16-20", J120&gt;20, "21+")</f>
        <v>11-15</v>
      </c>
      <c r="L120">
        <v>20</v>
      </c>
      <c r="M120" s="4">
        <f t="shared" ref="M120:M122" si="54">L120</f>
        <v>20</v>
      </c>
      <c r="N120" s="4">
        <f t="shared" si="31"/>
        <v>20</v>
      </c>
      <c r="O120" s="5">
        <v>3.2</v>
      </c>
      <c r="P120" t="b">
        <v>0</v>
      </c>
      <c r="Q120" t="s">
        <v>54</v>
      </c>
      <c r="S120" s="7"/>
    </row>
    <row r="121" spans="1:19" ht="13.5" x14ac:dyDescent="0.25">
      <c r="A121" t="s">
        <v>497</v>
      </c>
      <c r="B121" t="s">
        <v>498</v>
      </c>
      <c r="C121" t="str">
        <f t="shared" si="49"/>
        <v>Jesse Campbell</v>
      </c>
      <c r="D121" t="s">
        <v>31</v>
      </c>
      <c r="E121" s="3" t="str">
        <f t="shared" si="30"/>
        <v>Male</v>
      </c>
      <c r="F121" s="5">
        <v>29</v>
      </c>
      <c r="G121" t="s">
        <v>62</v>
      </c>
      <c r="H121" t="s">
        <v>63</v>
      </c>
      <c r="I121" t="s">
        <v>291</v>
      </c>
      <c r="J121" s="5">
        <v>4</v>
      </c>
      <c r="K121" s="3" t="str" cm="1">
        <f t="array" ref="K121">_xlfn.IFS(J121&lt;=5, "0-5", J121&lt;=10, "6-10", J121&lt;=15, "11-15", J121&lt;=20, "16-20", J121&gt;20, "21+")</f>
        <v>0-5</v>
      </c>
      <c r="L121">
        <v>30</v>
      </c>
      <c r="M121" s="4">
        <f t="shared" si="54"/>
        <v>30</v>
      </c>
      <c r="N121" s="4">
        <f t="shared" si="31"/>
        <v>30</v>
      </c>
      <c r="O121" s="5">
        <v>0</v>
      </c>
      <c r="P121" t="s">
        <v>57</v>
      </c>
      <c r="Q121" t="s">
        <v>28</v>
      </c>
      <c r="R121" s="1">
        <v>0.82</v>
      </c>
      <c r="S121" s="6">
        <f>R121</f>
        <v>0.82</v>
      </c>
    </row>
    <row r="122" spans="1:19" ht="13.5" x14ac:dyDescent="0.25">
      <c r="A122" t="s">
        <v>499</v>
      </c>
      <c r="B122" t="s">
        <v>500</v>
      </c>
      <c r="C122" t="str">
        <f t="shared" si="49"/>
        <v>Allison Tucker MD</v>
      </c>
      <c r="D122" t="s">
        <v>304</v>
      </c>
      <c r="E122" s="3" t="str">
        <f t="shared" si="30"/>
        <v>Female</v>
      </c>
      <c r="F122" s="5">
        <v>36</v>
      </c>
      <c r="G122" t="s">
        <v>104</v>
      </c>
      <c r="H122" t="s">
        <v>105</v>
      </c>
      <c r="I122" t="s">
        <v>286</v>
      </c>
      <c r="J122" s="5">
        <v>13</v>
      </c>
      <c r="K122" s="3" t="str" cm="1">
        <f t="array" ref="K122">_xlfn.IFS(J122&lt;=5, "0-5", J122&lt;=10, "6-10", J122&lt;=15, "11-15", J122&lt;=20, "16-20", J122&gt;20, "21+")</f>
        <v>11-15</v>
      </c>
      <c r="L122">
        <v>75</v>
      </c>
      <c r="M122" s="4">
        <f t="shared" si="54"/>
        <v>75</v>
      </c>
      <c r="N122" s="4">
        <f t="shared" si="31"/>
        <v>75</v>
      </c>
      <c r="P122">
        <v>1</v>
      </c>
      <c r="Q122" t="s">
        <v>28</v>
      </c>
      <c r="S122" s="7"/>
    </row>
    <row r="123" spans="1:19" ht="13.5" x14ac:dyDescent="0.25">
      <c r="A123" t="s">
        <v>501</v>
      </c>
      <c r="B123" t="s">
        <v>502</v>
      </c>
      <c r="C123" t="str">
        <f t="shared" si="49"/>
        <v>Candice Petersen</v>
      </c>
      <c r="D123" t="s">
        <v>22</v>
      </c>
      <c r="E123" s="3" t="str">
        <f t="shared" si="30"/>
        <v>Female</v>
      </c>
      <c r="F123" s="5">
        <v>47</v>
      </c>
      <c r="G123" t="s">
        <v>253</v>
      </c>
      <c r="H123" t="s">
        <v>254</v>
      </c>
      <c r="I123" t="s">
        <v>283</v>
      </c>
      <c r="J123" s="5">
        <v>5</v>
      </c>
      <c r="K123" s="3" t="str" cm="1">
        <f t="array" ref="K123">_xlfn.IFS(J123&lt;=5, "0-5", J123&lt;=10, "6-10", J123&lt;=15, "11-15", J123&lt;=20, "16-20", J123&gt;20, "21+")</f>
        <v>0-5</v>
      </c>
      <c r="L123" s="2">
        <v>40</v>
      </c>
      <c r="M123" s="4" t="str">
        <f>SUBSTITUTE(L123, "$","")</f>
        <v>40</v>
      </c>
      <c r="N123" s="4">
        <f t="shared" si="31"/>
        <v>40</v>
      </c>
      <c r="O123" s="5">
        <v>3.7</v>
      </c>
      <c r="P123" t="b">
        <v>0</v>
      </c>
      <c r="Q123" t="s">
        <v>54</v>
      </c>
      <c r="R123">
        <v>93</v>
      </c>
      <c r="S123" s="6">
        <f>R123/100</f>
        <v>0.93</v>
      </c>
    </row>
    <row r="124" spans="1:19" ht="13.5" x14ac:dyDescent="0.25">
      <c r="A124" t="s">
        <v>503</v>
      </c>
      <c r="B124" t="s">
        <v>504</v>
      </c>
      <c r="C124" t="str">
        <f t="shared" si="49"/>
        <v>Christopher Nichols</v>
      </c>
      <c r="D124" t="s">
        <v>311</v>
      </c>
      <c r="E124" s="3" t="str">
        <f t="shared" si="30"/>
        <v>Male</v>
      </c>
      <c r="F124" s="5">
        <v>48</v>
      </c>
      <c r="G124" t="s">
        <v>125</v>
      </c>
      <c r="H124" t="s">
        <v>39</v>
      </c>
      <c r="I124" t="s">
        <v>284</v>
      </c>
      <c r="J124" s="5">
        <v>15</v>
      </c>
      <c r="K124" s="3" t="str" cm="1">
        <f t="array" ref="K124">_xlfn.IFS(J124&lt;=5, "0-5", J124&lt;=10, "6-10", J124&lt;=15, "11-15", J124&lt;=20, "16-20", J124&gt;20, "21+")</f>
        <v>11-15</v>
      </c>
      <c r="L124" t="s">
        <v>112</v>
      </c>
      <c r="M124" s="4" t="str">
        <f t="shared" ref="M124" si="55">_xlfn.TEXTAFTER(L124, " ")</f>
        <v>50</v>
      </c>
      <c r="N124" s="4">
        <f t="shared" si="31"/>
        <v>50</v>
      </c>
      <c r="O124" s="5">
        <v>1</v>
      </c>
      <c r="P124" t="s">
        <v>57</v>
      </c>
      <c r="Q124" t="s">
        <v>28</v>
      </c>
      <c r="R124" s="1">
        <v>0.64</v>
      </c>
      <c r="S124" s="6">
        <f>R124</f>
        <v>0.64</v>
      </c>
    </row>
    <row r="125" spans="1:19" ht="13.5" x14ac:dyDescent="0.25">
      <c r="A125" t="s">
        <v>505</v>
      </c>
      <c r="B125" t="s">
        <v>506</v>
      </c>
      <c r="C125" t="str">
        <f t="shared" si="49"/>
        <v>Debra Garcia</v>
      </c>
      <c r="D125" t="s">
        <v>37</v>
      </c>
      <c r="E125" s="3" t="str">
        <f t="shared" si="30"/>
        <v>Female</v>
      </c>
      <c r="F125" s="5">
        <v>27</v>
      </c>
      <c r="G125" t="s">
        <v>165</v>
      </c>
      <c r="H125" t="s">
        <v>166</v>
      </c>
      <c r="I125" t="s">
        <v>286</v>
      </c>
      <c r="J125" s="5">
        <v>8</v>
      </c>
      <c r="K125" s="3" t="str" cm="1">
        <f t="array" ref="K125">_xlfn.IFS(J125&lt;=5, "0-5", J125&lt;=10, "6-10", J125&lt;=15, "11-15", J125&lt;=20, "16-20", J125&gt;20, "21+")</f>
        <v>6-10</v>
      </c>
      <c r="L125" s="2">
        <v>50</v>
      </c>
      <c r="M125" s="4" t="str">
        <f>SUBSTITUTE(L125, "$","")</f>
        <v>50</v>
      </c>
      <c r="N125" s="4">
        <f t="shared" si="31"/>
        <v>50</v>
      </c>
      <c r="O125" s="5">
        <v>0</v>
      </c>
      <c r="S125" s="7"/>
    </row>
    <row r="126" spans="1:19" ht="13.5" x14ac:dyDescent="0.25">
      <c r="A126" t="s">
        <v>507</v>
      </c>
      <c r="B126" t="s">
        <v>508</v>
      </c>
      <c r="C126" t="str">
        <f t="shared" si="49"/>
        <v>Andrew Fuentes</v>
      </c>
      <c r="D126" t="s">
        <v>31</v>
      </c>
      <c r="E126" s="3" t="str">
        <f t="shared" si="30"/>
        <v>Male</v>
      </c>
      <c r="F126" s="5">
        <v>34</v>
      </c>
      <c r="G126" t="s">
        <v>38</v>
      </c>
      <c r="H126" t="s">
        <v>39</v>
      </c>
      <c r="I126" t="s">
        <v>290</v>
      </c>
      <c r="J126" s="5">
        <v>10</v>
      </c>
      <c r="K126" s="3" t="str" cm="1">
        <f t="array" ref="K126">_xlfn.IFS(J126&lt;=5, "0-5", J126&lt;=10, "6-10", J126&lt;=15, "11-15", J126&lt;=20, "16-20", J126&gt;20, "21+")</f>
        <v>6-10</v>
      </c>
      <c r="N126" s="4" t="str">
        <f t="shared" si="31"/>
        <v>NA</v>
      </c>
      <c r="O126" s="5">
        <v>1.7</v>
      </c>
      <c r="P126" t="s">
        <v>64</v>
      </c>
      <c r="Q126" t="s">
        <v>54</v>
      </c>
      <c r="R126" s="1">
        <v>0.96</v>
      </c>
      <c r="S126" s="6">
        <f t="shared" ref="S126:S131" si="56">R126</f>
        <v>0.96</v>
      </c>
    </row>
    <row r="127" spans="1:19" ht="13.5" x14ac:dyDescent="0.25">
      <c r="A127" t="s">
        <v>509</v>
      </c>
      <c r="B127" t="s">
        <v>510</v>
      </c>
      <c r="C127" t="str">
        <f t="shared" si="49"/>
        <v>Jason Carter</v>
      </c>
      <c r="D127" t="s">
        <v>32</v>
      </c>
      <c r="E127" s="3" t="str">
        <f t="shared" si="30"/>
        <v>Male</v>
      </c>
      <c r="F127" s="5">
        <v>49</v>
      </c>
      <c r="G127" t="s">
        <v>62</v>
      </c>
      <c r="H127" t="s">
        <v>63</v>
      </c>
      <c r="I127" t="s">
        <v>291</v>
      </c>
      <c r="J127" s="5">
        <v>19</v>
      </c>
      <c r="K127" s="3" t="str" cm="1">
        <f t="array" ref="K127">_xlfn.IFS(J127&lt;=5, "0-5", J127&lt;=10, "6-10", J127&lt;=15, "11-15", J127&lt;=20, "16-20", J127&gt;20, "21+")</f>
        <v>16-20</v>
      </c>
      <c r="N127" s="4" t="str">
        <f t="shared" si="31"/>
        <v>NA</v>
      </c>
      <c r="O127" s="5">
        <v>5</v>
      </c>
      <c r="P127" t="s">
        <v>57</v>
      </c>
      <c r="Q127" t="s">
        <v>28</v>
      </c>
      <c r="R127" s="1">
        <v>0.83</v>
      </c>
      <c r="S127" s="6">
        <f t="shared" si="56"/>
        <v>0.83</v>
      </c>
    </row>
    <row r="128" spans="1:19" ht="13.5" x14ac:dyDescent="0.25">
      <c r="A128" t="s">
        <v>511</v>
      </c>
      <c r="B128" t="s">
        <v>512</v>
      </c>
      <c r="C128" t="str">
        <f t="shared" si="49"/>
        <v>Austin Romero</v>
      </c>
      <c r="D128" t="s">
        <v>31</v>
      </c>
      <c r="E128" s="3" t="str">
        <f t="shared" si="30"/>
        <v>Male</v>
      </c>
      <c r="F128" s="5">
        <v>30</v>
      </c>
      <c r="G128" t="s">
        <v>47</v>
      </c>
      <c r="H128" t="s">
        <v>48</v>
      </c>
      <c r="I128" t="s">
        <v>285</v>
      </c>
      <c r="J128" s="5">
        <v>10</v>
      </c>
      <c r="K128" s="3" t="str" cm="1">
        <f t="array" ref="K128">_xlfn.IFS(J128&lt;=5, "0-5", J128&lt;=10, "6-10", J128&lt;=15, "11-15", J128&lt;=20, "16-20", J128&gt;20, "21+")</f>
        <v>6-10</v>
      </c>
      <c r="L128" s="2">
        <v>100</v>
      </c>
      <c r="M128" s="4" t="str">
        <f>SUBSTITUTE(L128, "$","")</f>
        <v>100</v>
      </c>
      <c r="N128" s="4">
        <f t="shared" si="31"/>
        <v>100</v>
      </c>
      <c r="O128" s="5">
        <v>1.7</v>
      </c>
      <c r="P128" t="s">
        <v>27</v>
      </c>
      <c r="Q128" t="s">
        <v>28</v>
      </c>
      <c r="R128" s="1">
        <v>0.64</v>
      </c>
      <c r="S128" s="6">
        <f t="shared" si="56"/>
        <v>0.64</v>
      </c>
    </row>
    <row r="129" spans="1:19" ht="13.5" x14ac:dyDescent="0.25">
      <c r="A129" t="s">
        <v>513</v>
      </c>
      <c r="B129" t="s">
        <v>514</v>
      </c>
      <c r="C129" t="str">
        <f t="shared" si="49"/>
        <v>Clayton Burns</v>
      </c>
      <c r="D129" t="s">
        <v>31</v>
      </c>
      <c r="E129" s="3" t="str">
        <f t="shared" si="30"/>
        <v>Male</v>
      </c>
      <c r="F129" s="5">
        <v>31</v>
      </c>
      <c r="G129" t="s">
        <v>117</v>
      </c>
      <c r="H129" t="s">
        <v>118</v>
      </c>
      <c r="I129" t="s">
        <v>287</v>
      </c>
      <c r="J129" s="5">
        <v>8</v>
      </c>
      <c r="K129" s="3" t="str" cm="1">
        <f t="array" ref="K129">_xlfn.IFS(J129&lt;=5, "0-5", J129&lt;=10, "6-10", J129&lt;=15, "11-15", J129&lt;=20, "16-20", J129&gt;20, "21+")</f>
        <v>6-10</v>
      </c>
      <c r="L129">
        <v>40</v>
      </c>
      <c r="M129" s="4">
        <f t="shared" ref="M129:M131" si="57">L129</f>
        <v>40</v>
      </c>
      <c r="N129" s="4">
        <f t="shared" si="31"/>
        <v>40</v>
      </c>
      <c r="O129" s="5">
        <v>4.4000000000000004</v>
      </c>
      <c r="P129">
        <v>0</v>
      </c>
      <c r="Q129" t="s">
        <v>54</v>
      </c>
      <c r="R129" s="1">
        <v>0.7</v>
      </c>
      <c r="S129" s="6">
        <f t="shared" si="56"/>
        <v>0.7</v>
      </c>
    </row>
    <row r="130" spans="1:19" ht="13.5" x14ac:dyDescent="0.25">
      <c r="A130" t="s">
        <v>515</v>
      </c>
      <c r="B130" t="s">
        <v>516</v>
      </c>
      <c r="C130" t="str">
        <f t="shared" si="49"/>
        <v>Jonathan Clark</v>
      </c>
      <c r="D130" t="s">
        <v>43</v>
      </c>
      <c r="E130" s="3" t="str">
        <f t="shared" si="30"/>
        <v>Male</v>
      </c>
      <c r="F130" s="5">
        <v>58</v>
      </c>
      <c r="G130" t="s">
        <v>165</v>
      </c>
      <c r="H130" t="s">
        <v>166</v>
      </c>
      <c r="I130" t="s">
        <v>284</v>
      </c>
      <c r="J130" s="5">
        <v>9</v>
      </c>
      <c r="K130" s="3" t="str" cm="1">
        <f t="array" ref="K130">_xlfn.IFS(J130&lt;=5, "0-5", J130&lt;=10, "6-10", J130&lt;=15, "11-15", J130&lt;=20, "16-20", J130&gt;20, "21+")</f>
        <v>6-10</v>
      </c>
      <c r="L130">
        <v>20</v>
      </c>
      <c r="M130" s="4">
        <f t="shared" si="57"/>
        <v>20</v>
      </c>
      <c r="N130" s="4">
        <f t="shared" si="31"/>
        <v>20</v>
      </c>
      <c r="O130" s="5">
        <v>0</v>
      </c>
      <c r="P130" t="s">
        <v>64</v>
      </c>
      <c r="Q130" t="s">
        <v>54</v>
      </c>
      <c r="R130" s="1">
        <v>0.65</v>
      </c>
      <c r="S130" s="6">
        <f t="shared" si="56"/>
        <v>0.65</v>
      </c>
    </row>
    <row r="131" spans="1:19" ht="13.5" x14ac:dyDescent="0.25">
      <c r="A131" t="s">
        <v>517</v>
      </c>
      <c r="B131" t="s">
        <v>518</v>
      </c>
      <c r="C131" t="str">
        <f t="shared" si="49"/>
        <v>Alexander Griffin</v>
      </c>
      <c r="D131" t="s">
        <v>32</v>
      </c>
      <c r="E131" s="3" t="str">
        <f t="shared" ref="E131:E194" si="58">IF(LOWER(LEFT(D131,1)) = "f", "Female", "Male")</f>
        <v>Male</v>
      </c>
      <c r="F131" s="5">
        <v>47</v>
      </c>
      <c r="G131" t="s">
        <v>132</v>
      </c>
      <c r="H131" t="s">
        <v>133</v>
      </c>
      <c r="I131" t="s">
        <v>284</v>
      </c>
      <c r="J131" s="5">
        <v>13</v>
      </c>
      <c r="K131" s="3" t="str" cm="1">
        <f t="array" ref="K131">_xlfn.IFS(J131&lt;=5, "0-5", J131&lt;=10, "6-10", J131&lt;=15, "11-15", J131&lt;=20, "16-20", J131&gt;20, "21+")</f>
        <v>11-15</v>
      </c>
      <c r="L131">
        <v>40</v>
      </c>
      <c r="M131" s="4">
        <f t="shared" si="57"/>
        <v>40</v>
      </c>
      <c r="N131" s="4">
        <f t="shared" ref="N131:N194" si="59">IF(M131="","NA",ROUND(M131,0))</f>
        <v>40</v>
      </c>
      <c r="O131" s="5">
        <v>3.4</v>
      </c>
      <c r="R131" s="1">
        <v>0.67</v>
      </c>
      <c r="S131" s="6">
        <f t="shared" si="56"/>
        <v>0.67</v>
      </c>
    </row>
    <row r="132" spans="1:19" ht="13.5" x14ac:dyDescent="0.25">
      <c r="A132" t="s">
        <v>519</v>
      </c>
      <c r="B132" t="s">
        <v>520</v>
      </c>
      <c r="C132" t="str">
        <f t="shared" si="49"/>
        <v>Shelly Whitehead</v>
      </c>
      <c r="D132" t="s">
        <v>37</v>
      </c>
      <c r="E132" s="3" t="str">
        <f t="shared" si="58"/>
        <v>Female</v>
      </c>
      <c r="F132" s="5">
        <v>45</v>
      </c>
      <c r="G132" t="s">
        <v>152</v>
      </c>
      <c r="H132" t="s">
        <v>39</v>
      </c>
      <c r="I132" t="s">
        <v>288</v>
      </c>
      <c r="J132" s="5">
        <v>14</v>
      </c>
      <c r="K132" s="3" t="str" cm="1">
        <f t="array" ref="K132">_xlfn.IFS(J132&lt;=5, "0-5", J132&lt;=10, "6-10", J132&lt;=15, "11-15", J132&lt;=20, "16-20", J132&gt;20, "21+")</f>
        <v>11-15</v>
      </c>
      <c r="L132" t="s">
        <v>40</v>
      </c>
      <c r="M132" s="4" t="str">
        <f t="shared" ref="M132" si="60">_xlfn.TEXTAFTER(L132, " ")</f>
        <v>100</v>
      </c>
      <c r="N132" s="4">
        <f t="shared" si="59"/>
        <v>100</v>
      </c>
      <c r="O132" s="5">
        <v>1.1000000000000001</v>
      </c>
      <c r="P132" t="s">
        <v>81</v>
      </c>
      <c r="Q132" t="s">
        <v>54</v>
      </c>
      <c r="R132">
        <v>93</v>
      </c>
      <c r="S132" s="6">
        <f>R132/100</f>
        <v>0.93</v>
      </c>
    </row>
    <row r="133" spans="1:19" ht="13.5" x14ac:dyDescent="0.25">
      <c r="A133" t="s">
        <v>521</v>
      </c>
      <c r="B133" t="s">
        <v>522</v>
      </c>
      <c r="C133" t="str">
        <f t="shared" si="49"/>
        <v>Kaitlyn Davis</v>
      </c>
      <c r="D133" t="s">
        <v>21</v>
      </c>
      <c r="E133" s="3" t="str">
        <f t="shared" si="58"/>
        <v>Female</v>
      </c>
      <c r="F133" s="5">
        <v>57</v>
      </c>
      <c r="G133" t="s">
        <v>132</v>
      </c>
      <c r="H133" t="s">
        <v>133</v>
      </c>
      <c r="I133" t="s">
        <v>284</v>
      </c>
      <c r="J133" s="5">
        <v>0</v>
      </c>
      <c r="K133" s="3" t="str" cm="1">
        <f t="array" ref="K133">_xlfn.IFS(J133&lt;=5, "0-5", J133&lt;=10, "6-10", J133&lt;=15, "11-15", J133&lt;=20, "16-20", J133&gt;20, "21+")</f>
        <v>0-5</v>
      </c>
      <c r="L133">
        <v>50</v>
      </c>
      <c r="M133" s="4">
        <f t="shared" ref="M133:M134" si="61">L133</f>
        <v>50</v>
      </c>
      <c r="N133" s="4">
        <f t="shared" si="59"/>
        <v>50</v>
      </c>
      <c r="O133" s="5">
        <v>1.6</v>
      </c>
      <c r="P133" t="s">
        <v>64</v>
      </c>
      <c r="Q133" t="s">
        <v>54</v>
      </c>
      <c r="R133" s="1">
        <v>0.6</v>
      </c>
      <c r="S133" s="6">
        <f t="shared" ref="S133:S138" si="62">R133</f>
        <v>0.6</v>
      </c>
    </row>
    <row r="134" spans="1:19" ht="13.5" x14ac:dyDescent="0.25">
      <c r="A134" t="s">
        <v>523</v>
      </c>
      <c r="B134" t="s">
        <v>524</v>
      </c>
      <c r="C134" t="str">
        <f t="shared" si="49"/>
        <v>Christopher Jones</v>
      </c>
      <c r="D134" t="s">
        <v>311</v>
      </c>
      <c r="E134" s="3" t="str">
        <f t="shared" si="58"/>
        <v>Male</v>
      </c>
      <c r="F134" s="5">
        <v>50</v>
      </c>
      <c r="G134" t="s">
        <v>146</v>
      </c>
      <c r="H134" t="s">
        <v>147</v>
      </c>
      <c r="I134" t="s">
        <v>290</v>
      </c>
      <c r="J134" s="5">
        <v>22</v>
      </c>
      <c r="K134" s="3" t="str" cm="1">
        <f t="array" ref="K134">_xlfn.IFS(J134&lt;=5, "0-5", J134&lt;=10, "6-10", J134&lt;=15, "11-15", J134&lt;=20, "16-20", J134&gt;20, "21+")</f>
        <v>21+</v>
      </c>
      <c r="L134">
        <v>100</v>
      </c>
      <c r="M134" s="4">
        <f t="shared" si="61"/>
        <v>100</v>
      </c>
      <c r="N134" s="4">
        <f t="shared" si="59"/>
        <v>100</v>
      </c>
      <c r="O134" s="5">
        <v>4.0999999999999996</v>
      </c>
      <c r="P134" t="s">
        <v>64</v>
      </c>
      <c r="Q134" t="s">
        <v>54</v>
      </c>
      <c r="R134" s="1">
        <v>0.62</v>
      </c>
      <c r="S134" s="6">
        <f t="shared" si="62"/>
        <v>0.62</v>
      </c>
    </row>
    <row r="135" spans="1:19" ht="13.5" x14ac:dyDescent="0.25">
      <c r="A135" t="s">
        <v>525</v>
      </c>
      <c r="B135" t="s">
        <v>526</v>
      </c>
      <c r="C135" t="str">
        <f t="shared" si="49"/>
        <v>Cindy Jacobs</v>
      </c>
      <c r="D135" t="s">
        <v>21</v>
      </c>
      <c r="E135" s="3" t="str">
        <f t="shared" si="58"/>
        <v>Female</v>
      </c>
      <c r="G135" t="s">
        <v>47</v>
      </c>
      <c r="H135" t="s">
        <v>48</v>
      </c>
      <c r="I135" t="s">
        <v>284</v>
      </c>
      <c r="J135" s="5">
        <v>4</v>
      </c>
      <c r="K135" s="3" t="str" cm="1">
        <f t="array" ref="K135">_xlfn.IFS(J135&lt;=5, "0-5", J135&lt;=10, "6-10", J135&lt;=15, "11-15", J135&lt;=20, "16-20", J135&gt;20, "21+")</f>
        <v>0-5</v>
      </c>
      <c r="N135" s="4" t="str">
        <f t="shared" si="59"/>
        <v>NA</v>
      </c>
      <c r="O135" s="5">
        <v>2.5</v>
      </c>
      <c r="R135" s="1">
        <v>0.7</v>
      </c>
      <c r="S135" s="6">
        <f t="shared" si="62"/>
        <v>0.7</v>
      </c>
    </row>
    <row r="136" spans="1:19" ht="13.5" x14ac:dyDescent="0.25">
      <c r="A136" t="s">
        <v>527</v>
      </c>
      <c r="B136" t="s">
        <v>528</v>
      </c>
      <c r="C136" t="str">
        <f t="shared" si="49"/>
        <v>Penny Day</v>
      </c>
      <c r="D136" t="s">
        <v>22</v>
      </c>
      <c r="E136" s="3" t="str">
        <f t="shared" si="58"/>
        <v>Female</v>
      </c>
      <c r="F136" s="5">
        <v>45</v>
      </c>
      <c r="G136" t="s">
        <v>104</v>
      </c>
      <c r="H136" t="s">
        <v>105</v>
      </c>
      <c r="I136" t="s">
        <v>292</v>
      </c>
      <c r="J136" s="5">
        <v>22</v>
      </c>
      <c r="K136" s="3" t="str" cm="1">
        <f t="array" ref="K136">_xlfn.IFS(J136&lt;=5, "0-5", J136&lt;=10, "6-10", J136&lt;=15, "11-15", J136&lt;=20, "16-20", J136&gt;20, "21+")</f>
        <v>21+</v>
      </c>
      <c r="L136" s="2">
        <v>100</v>
      </c>
      <c r="M136" s="4" t="str">
        <f>SUBSTITUTE(L136, "$","")</f>
        <v>100</v>
      </c>
      <c r="N136" s="4">
        <f t="shared" si="59"/>
        <v>100</v>
      </c>
      <c r="O136" s="5">
        <v>4</v>
      </c>
      <c r="P136" t="s">
        <v>57</v>
      </c>
      <c r="Q136" t="s">
        <v>28</v>
      </c>
      <c r="R136" s="1">
        <v>0.75</v>
      </c>
      <c r="S136" s="6">
        <f t="shared" si="62"/>
        <v>0.75</v>
      </c>
    </row>
    <row r="137" spans="1:19" ht="13.5" x14ac:dyDescent="0.25">
      <c r="A137" t="s">
        <v>529</v>
      </c>
      <c r="B137" t="s">
        <v>530</v>
      </c>
      <c r="C137" t="str">
        <f t="shared" si="49"/>
        <v>Thomas Ingram</v>
      </c>
      <c r="D137" t="s">
        <v>311</v>
      </c>
      <c r="E137" s="3" t="str">
        <f t="shared" si="58"/>
        <v>Male</v>
      </c>
      <c r="F137" s="5">
        <v>60</v>
      </c>
      <c r="G137" t="s">
        <v>177</v>
      </c>
      <c r="H137" t="s">
        <v>178</v>
      </c>
      <c r="I137" t="s">
        <v>288</v>
      </c>
      <c r="J137" s="5">
        <v>39</v>
      </c>
      <c r="K137" s="3" t="str" cm="1">
        <f t="array" ref="K137">_xlfn.IFS(J137&lt;=5, "0-5", J137&lt;=10, "6-10", J137&lt;=15, "11-15", J137&lt;=20, "16-20", J137&gt;20, "21+")</f>
        <v>21+</v>
      </c>
      <c r="L137">
        <v>75</v>
      </c>
      <c r="M137" s="4">
        <f>L137</f>
        <v>75</v>
      </c>
      <c r="N137" s="4">
        <f t="shared" si="59"/>
        <v>75</v>
      </c>
      <c r="O137" s="5">
        <v>1.4</v>
      </c>
      <c r="P137" t="s">
        <v>81</v>
      </c>
      <c r="Q137" t="s">
        <v>54</v>
      </c>
      <c r="R137" s="1">
        <v>0.7</v>
      </c>
      <c r="S137" s="6">
        <f t="shared" si="62"/>
        <v>0.7</v>
      </c>
    </row>
    <row r="138" spans="1:19" ht="13.5" x14ac:dyDescent="0.25">
      <c r="A138" t="s">
        <v>531</v>
      </c>
      <c r="B138" t="s">
        <v>532</v>
      </c>
      <c r="C138" t="str">
        <f t="shared" si="49"/>
        <v>Donna Hansen</v>
      </c>
      <c r="D138" t="s">
        <v>304</v>
      </c>
      <c r="E138" s="3" t="str">
        <f t="shared" si="58"/>
        <v>Female</v>
      </c>
      <c r="F138" s="5">
        <v>43</v>
      </c>
      <c r="G138" t="s">
        <v>152</v>
      </c>
      <c r="H138" t="s">
        <v>39</v>
      </c>
      <c r="I138" t="s">
        <v>288</v>
      </c>
      <c r="J138" s="5">
        <v>5</v>
      </c>
      <c r="K138" s="3" t="str" cm="1">
        <f t="array" ref="K138">_xlfn.IFS(J138&lt;=5, "0-5", J138&lt;=10, "6-10", J138&lt;=15, "11-15", J138&lt;=20, "16-20", J138&gt;20, "21+")</f>
        <v>0-5</v>
      </c>
      <c r="L138" t="s">
        <v>112</v>
      </c>
      <c r="M138" s="4" t="str">
        <f t="shared" ref="M138:M139" si="63">_xlfn.TEXTAFTER(L138, " ")</f>
        <v>50</v>
      </c>
      <c r="N138" s="4">
        <f t="shared" si="59"/>
        <v>50</v>
      </c>
      <c r="P138">
        <v>1</v>
      </c>
      <c r="Q138" t="s">
        <v>28</v>
      </c>
      <c r="R138" s="1">
        <v>0.84</v>
      </c>
      <c r="S138" s="6">
        <f t="shared" si="62"/>
        <v>0.84</v>
      </c>
    </row>
    <row r="139" spans="1:19" ht="13.5" x14ac:dyDescent="0.25">
      <c r="A139" t="s">
        <v>533</v>
      </c>
      <c r="B139" t="s">
        <v>534</v>
      </c>
      <c r="C139" t="str">
        <f t="shared" si="49"/>
        <v>Donna Bailey</v>
      </c>
      <c r="D139" t="s">
        <v>301</v>
      </c>
      <c r="E139" s="3" t="str">
        <f t="shared" si="58"/>
        <v>Female</v>
      </c>
      <c r="F139" s="5">
        <v>39</v>
      </c>
      <c r="G139" t="s">
        <v>132</v>
      </c>
      <c r="H139" t="s">
        <v>133</v>
      </c>
      <c r="I139" t="s">
        <v>288</v>
      </c>
      <c r="J139" s="5">
        <v>5</v>
      </c>
      <c r="K139" s="3" t="str" cm="1">
        <f t="array" ref="K139">_xlfn.IFS(J139&lt;=5, "0-5", J139&lt;=10, "6-10", J139&lt;=15, "11-15", J139&lt;=20, "16-20", J139&gt;20, "21+")</f>
        <v>0-5</v>
      </c>
      <c r="L139" t="s">
        <v>99</v>
      </c>
      <c r="M139" s="4" t="str">
        <f t="shared" si="63"/>
        <v>40</v>
      </c>
      <c r="N139" s="4">
        <f t="shared" si="59"/>
        <v>40</v>
      </c>
      <c r="O139" s="5">
        <v>1.2</v>
      </c>
      <c r="P139">
        <v>0</v>
      </c>
      <c r="Q139" t="s">
        <v>54</v>
      </c>
      <c r="R139">
        <v>83</v>
      </c>
      <c r="S139" s="6">
        <f>R139/100</f>
        <v>0.83</v>
      </c>
    </row>
    <row r="140" spans="1:19" ht="13.5" x14ac:dyDescent="0.25">
      <c r="A140" t="s">
        <v>535</v>
      </c>
      <c r="B140" t="s">
        <v>536</v>
      </c>
      <c r="C140" t="str">
        <f t="shared" si="49"/>
        <v>Joshua Armstrong</v>
      </c>
      <c r="D140" t="s">
        <v>31</v>
      </c>
      <c r="E140" s="3" t="str">
        <f t="shared" si="58"/>
        <v>Male</v>
      </c>
      <c r="F140" s="5">
        <v>26</v>
      </c>
      <c r="G140" t="s">
        <v>44</v>
      </c>
      <c r="H140" t="s">
        <v>24</v>
      </c>
      <c r="I140" t="s">
        <v>286</v>
      </c>
      <c r="J140" s="5">
        <v>5</v>
      </c>
      <c r="K140" s="3" t="str" cm="1">
        <f t="array" ref="K140">_xlfn.IFS(J140&lt;=5, "0-5", J140&lt;=10, "6-10", J140&lt;=15, "11-15", J140&lt;=20, "16-20", J140&gt;20, "21+")</f>
        <v>0-5</v>
      </c>
      <c r="L140">
        <v>50</v>
      </c>
      <c r="M140" s="4">
        <f t="shared" ref="M140:M142" si="64">L140</f>
        <v>50</v>
      </c>
      <c r="N140" s="4">
        <f t="shared" si="59"/>
        <v>50</v>
      </c>
      <c r="O140" s="5">
        <v>0</v>
      </c>
      <c r="P140" t="s">
        <v>64</v>
      </c>
      <c r="Q140" t="s">
        <v>54</v>
      </c>
      <c r="S140" s="7"/>
    </row>
    <row r="141" spans="1:19" ht="13.5" x14ac:dyDescent="0.25">
      <c r="A141" t="s">
        <v>537</v>
      </c>
      <c r="B141" t="s">
        <v>538</v>
      </c>
      <c r="C141" t="str">
        <f t="shared" si="49"/>
        <v>Jonathan Garza</v>
      </c>
      <c r="D141" t="s">
        <v>43</v>
      </c>
      <c r="E141" s="3" t="str">
        <f t="shared" si="58"/>
        <v>Male</v>
      </c>
      <c r="F141" s="5">
        <v>31</v>
      </c>
      <c r="G141" t="s">
        <v>33</v>
      </c>
      <c r="H141" t="s">
        <v>34</v>
      </c>
      <c r="I141" t="s">
        <v>288</v>
      </c>
      <c r="J141" s="5">
        <v>11</v>
      </c>
      <c r="K141" s="3" t="str" cm="1">
        <f t="array" ref="K141">_xlfn.IFS(J141&lt;=5, "0-5", J141&lt;=10, "6-10", J141&lt;=15, "11-15", J141&lt;=20, "16-20", J141&gt;20, "21+")</f>
        <v>11-15</v>
      </c>
      <c r="L141">
        <v>50</v>
      </c>
      <c r="M141" s="4">
        <f t="shared" si="64"/>
        <v>50</v>
      </c>
      <c r="N141" s="4">
        <f t="shared" si="59"/>
        <v>50</v>
      </c>
      <c r="O141" s="5">
        <v>3.1</v>
      </c>
      <c r="P141" t="b">
        <v>0</v>
      </c>
      <c r="Q141" t="s">
        <v>54</v>
      </c>
      <c r="R141" s="1">
        <v>0.88</v>
      </c>
      <c r="S141" s="6">
        <f t="shared" ref="S141:S145" si="65">R141</f>
        <v>0.88</v>
      </c>
    </row>
    <row r="142" spans="1:19" ht="13.5" x14ac:dyDescent="0.25">
      <c r="A142" t="s">
        <v>539</v>
      </c>
      <c r="B142" t="s">
        <v>540</v>
      </c>
      <c r="C142" t="str">
        <f t="shared" si="49"/>
        <v>Charles Jones</v>
      </c>
      <c r="D142" t="s">
        <v>43</v>
      </c>
      <c r="E142" s="3" t="str">
        <f t="shared" si="58"/>
        <v>Male</v>
      </c>
      <c r="F142" s="5">
        <v>52</v>
      </c>
      <c r="G142" t="s">
        <v>132</v>
      </c>
      <c r="H142" t="s">
        <v>133</v>
      </c>
      <c r="I142" t="s">
        <v>286</v>
      </c>
      <c r="J142" s="5">
        <v>15</v>
      </c>
      <c r="K142" s="3" t="str" cm="1">
        <f t="array" ref="K142">_xlfn.IFS(J142&lt;=5, "0-5", J142&lt;=10, "6-10", J142&lt;=15, "11-15", J142&lt;=20, "16-20", J142&gt;20, "21+")</f>
        <v>11-15</v>
      </c>
      <c r="L142">
        <v>50</v>
      </c>
      <c r="M142" s="4">
        <f t="shared" si="64"/>
        <v>50</v>
      </c>
      <c r="N142" s="4">
        <f t="shared" si="59"/>
        <v>50</v>
      </c>
      <c r="O142" s="5">
        <v>0</v>
      </c>
      <c r="P142" t="s">
        <v>27</v>
      </c>
      <c r="Q142" t="s">
        <v>28</v>
      </c>
      <c r="R142" s="1">
        <v>0.81</v>
      </c>
      <c r="S142" s="6">
        <f t="shared" si="65"/>
        <v>0.81</v>
      </c>
    </row>
    <row r="143" spans="1:19" ht="13.5" x14ac:dyDescent="0.25">
      <c r="A143" t="s">
        <v>541</v>
      </c>
      <c r="B143" t="s">
        <v>542</v>
      </c>
      <c r="C143" t="str">
        <f t="shared" si="49"/>
        <v>Lindsey Miles</v>
      </c>
      <c r="D143" t="s">
        <v>304</v>
      </c>
      <c r="E143" s="3" t="str">
        <f t="shared" si="58"/>
        <v>Female</v>
      </c>
      <c r="F143" s="5">
        <v>34</v>
      </c>
      <c r="G143" t="s">
        <v>146</v>
      </c>
      <c r="H143" t="s">
        <v>147</v>
      </c>
      <c r="I143" t="s">
        <v>291</v>
      </c>
      <c r="J143" s="5">
        <v>5</v>
      </c>
      <c r="K143" s="3" t="str" cm="1">
        <f t="array" ref="K143">_xlfn.IFS(J143&lt;=5, "0-5", J143&lt;=10, "6-10", J143&lt;=15, "11-15", J143&lt;=20, "16-20", J143&gt;20, "21+")</f>
        <v>0-5</v>
      </c>
      <c r="L143" t="s">
        <v>78</v>
      </c>
      <c r="M143" s="4" t="str">
        <f t="shared" ref="M143" si="66">_xlfn.TEXTAFTER(L143, " ")</f>
        <v>20</v>
      </c>
      <c r="N143" s="4">
        <f t="shared" si="59"/>
        <v>20</v>
      </c>
      <c r="O143" s="5">
        <v>2.2000000000000002</v>
      </c>
      <c r="P143" t="s">
        <v>57</v>
      </c>
      <c r="Q143" t="s">
        <v>28</v>
      </c>
      <c r="R143" s="1">
        <v>0.8</v>
      </c>
      <c r="S143" s="6">
        <f t="shared" si="65"/>
        <v>0.8</v>
      </c>
    </row>
    <row r="144" spans="1:19" ht="13.5" x14ac:dyDescent="0.25">
      <c r="A144" t="s">
        <v>543</v>
      </c>
      <c r="B144" t="s">
        <v>544</v>
      </c>
      <c r="C144" t="str">
        <f t="shared" si="49"/>
        <v>Eduardo Reed</v>
      </c>
      <c r="D144" t="s">
        <v>31</v>
      </c>
      <c r="E144" s="3" t="str">
        <f t="shared" si="58"/>
        <v>Male</v>
      </c>
      <c r="F144" s="5">
        <v>45</v>
      </c>
      <c r="G144" t="s">
        <v>152</v>
      </c>
      <c r="H144" t="s">
        <v>39</v>
      </c>
      <c r="I144" t="s">
        <v>290</v>
      </c>
      <c r="J144" s="5">
        <v>7</v>
      </c>
      <c r="K144" s="3" t="str" cm="1">
        <f t="array" ref="K144">_xlfn.IFS(J144&lt;=5, "0-5", J144&lt;=10, "6-10", J144&lt;=15, "11-15", J144&lt;=20, "16-20", J144&gt;20, "21+")</f>
        <v>6-10</v>
      </c>
      <c r="L144">
        <v>75</v>
      </c>
      <c r="M144" s="4">
        <f>L144</f>
        <v>75</v>
      </c>
      <c r="N144" s="4">
        <f t="shared" si="59"/>
        <v>75</v>
      </c>
      <c r="O144" s="5">
        <v>3</v>
      </c>
      <c r="P144">
        <v>1</v>
      </c>
      <c r="Q144" t="s">
        <v>28</v>
      </c>
      <c r="R144" s="1">
        <v>0.67</v>
      </c>
      <c r="S144" s="6">
        <f t="shared" si="65"/>
        <v>0.67</v>
      </c>
    </row>
    <row r="145" spans="1:19" ht="13.5" x14ac:dyDescent="0.25">
      <c r="A145" t="s">
        <v>545</v>
      </c>
      <c r="B145" t="s">
        <v>546</v>
      </c>
      <c r="C145" t="str">
        <f t="shared" si="49"/>
        <v>Lee Fowler</v>
      </c>
      <c r="D145" t="s">
        <v>43</v>
      </c>
      <c r="E145" s="3" t="str">
        <f t="shared" si="58"/>
        <v>Male</v>
      </c>
      <c r="F145" s="5">
        <v>46</v>
      </c>
      <c r="G145" t="s">
        <v>152</v>
      </c>
      <c r="H145" t="s">
        <v>39</v>
      </c>
      <c r="I145" t="s">
        <v>288</v>
      </c>
      <c r="J145" s="5">
        <v>9</v>
      </c>
      <c r="K145" s="3" t="str" cm="1">
        <f t="array" ref="K145">_xlfn.IFS(J145&lt;=5, "0-5", J145&lt;=10, "6-10", J145&lt;=15, "11-15", J145&lt;=20, "16-20", J145&gt;20, "21+")</f>
        <v>6-10</v>
      </c>
      <c r="L145" s="2">
        <v>20</v>
      </c>
      <c r="M145" s="4" t="str">
        <f>SUBSTITUTE(L145, "$","")</f>
        <v>20</v>
      </c>
      <c r="N145" s="4">
        <f t="shared" si="59"/>
        <v>20</v>
      </c>
      <c r="O145" s="5">
        <v>0</v>
      </c>
      <c r="P145" t="s">
        <v>64</v>
      </c>
      <c r="Q145" t="s">
        <v>54</v>
      </c>
      <c r="R145" s="1">
        <v>0.82</v>
      </c>
      <c r="S145" s="6">
        <f t="shared" si="65"/>
        <v>0.82</v>
      </c>
    </row>
    <row r="146" spans="1:19" ht="13.5" x14ac:dyDescent="0.25">
      <c r="A146" t="s">
        <v>547</v>
      </c>
      <c r="B146" t="s">
        <v>548</v>
      </c>
      <c r="C146" t="str">
        <f t="shared" si="49"/>
        <v>Steven Jones Jr.</v>
      </c>
      <c r="D146" t="s">
        <v>43</v>
      </c>
      <c r="E146" s="3" t="str">
        <f t="shared" si="58"/>
        <v>Male</v>
      </c>
      <c r="F146" s="5">
        <v>56</v>
      </c>
      <c r="G146" t="s">
        <v>132</v>
      </c>
      <c r="H146" t="s">
        <v>133</v>
      </c>
      <c r="I146" t="s">
        <v>286</v>
      </c>
      <c r="J146" s="5">
        <v>21</v>
      </c>
      <c r="K146" s="3" t="str" cm="1">
        <f t="array" ref="K146">_xlfn.IFS(J146&lt;=5, "0-5", J146&lt;=10, "6-10", J146&lt;=15, "11-15", J146&lt;=20, "16-20", J146&gt;20, "21+")</f>
        <v>21+</v>
      </c>
      <c r="L146" t="s">
        <v>40</v>
      </c>
      <c r="M146" s="4" t="str">
        <f t="shared" ref="M146" si="67">_xlfn.TEXTAFTER(L146, " ")</f>
        <v>100</v>
      </c>
      <c r="N146" s="4">
        <f t="shared" si="59"/>
        <v>100</v>
      </c>
      <c r="O146" s="5">
        <v>0</v>
      </c>
      <c r="P146" t="b">
        <v>1</v>
      </c>
      <c r="Q146" t="s">
        <v>28</v>
      </c>
      <c r="R146">
        <v>78</v>
      </c>
      <c r="S146" s="6">
        <f>R146/100</f>
        <v>0.78</v>
      </c>
    </row>
    <row r="147" spans="1:19" ht="13.5" x14ac:dyDescent="0.25">
      <c r="A147" t="s">
        <v>273</v>
      </c>
      <c r="B147" t="s">
        <v>274</v>
      </c>
      <c r="C147" t="str">
        <f t="shared" si="49"/>
        <v>Ashley Chen</v>
      </c>
      <c r="D147" t="s">
        <v>21</v>
      </c>
      <c r="E147" s="3" t="str">
        <f t="shared" si="58"/>
        <v>Female</v>
      </c>
      <c r="F147" s="5">
        <v>59</v>
      </c>
      <c r="G147" t="s">
        <v>33</v>
      </c>
      <c r="H147" t="s">
        <v>34</v>
      </c>
      <c r="I147" t="s">
        <v>25</v>
      </c>
      <c r="J147" s="5">
        <v>7</v>
      </c>
      <c r="K147" s="3" t="str" cm="1">
        <f t="array" ref="K147">_xlfn.IFS(J147&lt;=5, "0-5", J147&lt;=10, "6-10", J147&lt;=15, "11-15", J147&lt;=20, "16-20", J147&gt;20, "21+")</f>
        <v>6-10</v>
      </c>
      <c r="L147" s="2">
        <v>40</v>
      </c>
      <c r="M147" s="4" t="str">
        <f>SUBSTITUTE(L147, "$","")</f>
        <v>40</v>
      </c>
      <c r="N147" s="4">
        <f t="shared" si="59"/>
        <v>40</v>
      </c>
      <c r="O147" s="5">
        <v>1.4</v>
      </c>
      <c r="P147" t="b">
        <v>0</v>
      </c>
      <c r="Q147" t="s">
        <v>54</v>
      </c>
      <c r="R147" s="1">
        <v>0.81</v>
      </c>
      <c r="S147" s="6">
        <f t="shared" ref="S147:S150" si="68">R147</f>
        <v>0.81</v>
      </c>
    </row>
    <row r="148" spans="1:19" ht="13.5" x14ac:dyDescent="0.25">
      <c r="A148" t="s">
        <v>549</v>
      </c>
      <c r="B148" t="s">
        <v>550</v>
      </c>
      <c r="C148" t="str">
        <f t="shared" si="49"/>
        <v>Erica Davis</v>
      </c>
      <c r="D148" t="s">
        <v>21</v>
      </c>
      <c r="E148" s="3" t="str">
        <f t="shared" si="58"/>
        <v>Female</v>
      </c>
      <c r="F148" s="5">
        <v>54</v>
      </c>
      <c r="G148" t="s">
        <v>117</v>
      </c>
      <c r="H148" t="s">
        <v>118</v>
      </c>
      <c r="I148" t="s">
        <v>292</v>
      </c>
      <c r="J148" s="5">
        <v>4</v>
      </c>
      <c r="K148" s="3" t="str" cm="1">
        <f t="array" ref="K148">_xlfn.IFS(J148&lt;=5, "0-5", J148&lt;=10, "6-10", J148&lt;=15, "11-15", J148&lt;=20, "16-20", J148&gt;20, "21+")</f>
        <v>0-5</v>
      </c>
      <c r="N148" s="4" t="str">
        <f t="shared" si="59"/>
        <v>NA</v>
      </c>
      <c r="O148" s="5">
        <v>1.4</v>
      </c>
      <c r="P148" t="b">
        <v>1</v>
      </c>
      <c r="Q148" t="s">
        <v>28</v>
      </c>
      <c r="R148" s="1">
        <v>0.74</v>
      </c>
      <c r="S148" s="6">
        <f t="shared" si="68"/>
        <v>0.74</v>
      </c>
    </row>
    <row r="149" spans="1:19" ht="13.5" x14ac:dyDescent="0.25">
      <c r="A149" t="s">
        <v>551</v>
      </c>
      <c r="B149" t="s">
        <v>552</v>
      </c>
      <c r="C149" t="str">
        <f t="shared" si="49"/>
        <v>Wayne Gonzales</v>
      </c>
      <c r="D149" t="s">
        <v>328</v>
      </c>
      <c r="E149" s="3" t="str">
        <f t="shared" si="58"/>
        <v>Male</v>
      </c>
      <c r="F149" s="5">
        <v>36</v>
      </c>
      <c r="G149" t="s">
        <v>33</v>
      </c>
      <c r="H149" t="s">
        <v>34</v>
      </c>
      <c r="I149" t="s">
        <v>286</v>
      </c>
      <c r="J149" s="5">
        <v>7</v>
      </c>
      <c r="K149" s="3" t="str" cm="1">
        <f t="array" ref="K149">_xlfn.IFS(J149&lt;=5, "0-5", J149&lt;=10, "6-10", J149&lt;=15, "11-15", J149&lt;=20, "16-20", J149&gt;20, "21+")</f>
        <v>6-10</v>
      </c>
      <c r="L149">
        <v>30</v>
      </c>
      <c r="M149" s="4">
        <f t="shared" ref="M149:M150" si="69">L149</f>
        <v>30</v>
      </c>
      <c r="N149" s="4">
        <f t="shared" si="59"/>
        <v>30</v>
      </c>
      <c r="O149" s="5">
        <v>0</v>
      </c>
      <c r="P149" t="s">
        <v>64</v>
      </c>
      <c r="Q149" t="s">
        <v>54</v>
      </c>
      <c r="R149" s="1">
        <v>0.88</v>
      </c>
      <c r="S149" s="6">
        <f t="shared" si="68"/>
        <v>0.88</v>
      </c>
    </row>
    <row r="150" spans="1:19" ht="13.5" x14ac:dyDescent="0.25">
      <c r="A150" t="s">
        <v>553</v>
      </c>
      <c r="B150" t="s">
        <v>554</v>
      </c>
      <c r="C150" t="str">
        <f t="shared" si="49"/>
        <v>Gary Ballard</v>
      </c>
      <c r="D150" t="s">
        <v>31</v>
      </c>
      <c r="E150" s="3" t="str">
        <f t="shared" si="58"/>
        <v>Male</v>
      </c>
      <c r="F150" s="5">
        <v>25</v>
      </c>
      <c r="G150" t="s">
        <v>44</v>
      </c>
      <c r="H150" t="s">
        <v>24</v>
      </c>
      <c r="I150" t="s">
        <v>291</v>
      </c>
      <c r="J150" s="5">
        <v>0</v>
      </c>
      <c r="K150" s="3" t="str" cm="1">
        <f t="array" ref="K150">_xlfn.IFS(J150&lt;=5, "0-5", J150&lt;=10, "6-10", J150&lt;=15, "11-15", J150&lt;=20, "16-20", J150&gt;20, "21+")</f>
        <v>0-5</v>
      </c>
      <c r="L150">
        <v>40</v>
      </c>
      <c r="M150" s="4">
        <f t="shared" si="69"/>
        <v>40</v>
      </c>
      <c r="N150" s="4">
        <f t="shared" si="59"/>
        <v>40</v>
      </c>
      <c r="O150" s="5">
        <v>0</v>
      </c>
      <c r="P150">
        <v>0</v>
      </c>
      <c r="Q150" t="s">
        <v>54</v>
      </c>
      <c r="R150" s="1">
        <v>0.9</v>
      </c>
      <c r="S150" s="6">
        <f t="shared" si="68"/>
        <v>0.9</v>
      </c>
    </row>
    <row r="151" spans="1:19" ht="13.5" x14ac:dyDescent="0.25">
      <c r="A151" t="s">
        <v>555</v>
      </c>
      <c r="B151" t="s">
        <v>556</v>
      </c>
      <c r="C151" t="str">
        <f t="shared" si="49"/>
        <v>Maria Mcguire</v>
      </c>
      <c r="D151" t="s">
        <v>21</v>
      </c>
      <c r="E151" s="3" t="str">
        <f t="shared" si="58"/>
        <v>Female</v>
      </c>
      <c r="F151" s="5">
        <v>37</v>
      </c>
      <c r="G151" t="s">
        <v>95</v>
      </c>
      <c r="H151" t="s">
        <v>96</v>
      </c>
      <c r="I151" t="s">
        <v>291</v>
      </c>
      <c r="J151" s="5">
        <v>15</v>
      </c>
      <c r="K151" s="3" t="str" cm="1">
        <f t="array" ref="K151">_xlfn.IFS(J151&lt;=5, "0-5", J151&lt;=10, "6-10", J151&lt;=15, "11-15", J151&lt;=20, "16-20", J151&gt;20, "21+")</f>
        <v>11-15</v>
      </c>
      <c r="L151" s="2">
        <v>40</v>
      </c>
      <c r="M151" s="4" t="str">
        <f>SUBSTITUTE(L151, "$","")</f>
        <v>40</v>
      </c>
      <c r="N151" s="4">
        <f t="shared" si="59"/>
        <v>40</v>
      </c>
      <c r="O151" s="5">
        <v>2.9</v>
      </c>
      <c r="P151" t="b">
        <v>0</v>
      </c>
      <c r="Q151" t="s">
        <v>54</v>
      </c>
      <c r="S151" s="7"/>
    </row>
    <row r="152" spans="1:19" ht="13.5" x14ac:dyDescent="0.25">
      <c r="A152" t="s">
        <v>557</v>
      </c>
      <c r="B152" t="s">
        <v>558</v>
      </c>
      <c r="C152" t="str">
        <f t="shared" si="49"/>
        <v>Matthew Richards</v>
      </c>
      <c r="D152" t="s">
        <v>328</v>
      </c>
      <c r="E152" s="3" t="str">
        <f t="shared" si="58"/>
        <v>Male</v>
      </c>
      <c r="G152" t="s">
        <v>67</v>
      </c>
      <c r="H152" t="s">
        <v>68</v>
      </c>
      <c r="I152" t="s">
        <v>291</v>
      </c>
      <c r="J152" s="5">
        <v>10</v>
      </c>
      <c r="K152" s="3" t="str" cm="1">
        <f t="array" ref="K152">_xlfn.IFS(J152&lt;=5, "0-5", J152&lt;=10, "6-10", J152&lt;=15, "11-15", J152&lt;=20, "16-20", J152&gt;20, "21+")</f>
        <v>6-10</v>
      </c>
      <c r="L152" t="s">
        <v>99</v>
      </c>
      <c r="M152" s="4" t="str">
        <f t="shared" ref="M152" si="70">_xlfn.TEXTAFTER(L152, " ")</f>
        <v>40</v>
      </c>
      <c r="N152" s="4">
        <f t="shared" si="59"/>
        <v>40</v>
      </c>
      <c r="O152" s="5">
        <v>0</v>
      </c>
      <c r="S152" s="7"/>
    </row>
    <row r="153" spans="1:19" ht="13.5" x14ac:dyDescent="0.25">
      <c r="A153" t="s">
        <v>559</v>
      </c>
      <c r="B153" t="s">
        <v>560</v>
      </c>
      <c r="C153" t="str">
        <f t="shared" si="49"/>
        <v>Patrick Malone</v>
      </c>
      <c r="D153" t="s">
        <v>43</v>
      </c>
      <c r="E153" s="3" t="str">
        <f t="shared" si="58"/>
        <v>Male</v>
      </c>
      <c r="F153" s="5">
        <v>29</v>
      </c>
      <c r="G153" t="s">
        <v>84</v>
      </c>
      <c r="H153" t="s">
        <v>24</v>
      </c>
      <c r="I153" t="s">
        <v>291</v>
      </c>
      <c r="J153" s="5">
        <v>11</v>
      </c>
      <c r="K153" s="3" t="str" cm="1">
        <f t="array" ref="K153">_xlfn.IFS(J153&lt;=5, "0-5", J153&lt;=10, "6-10", J153&lt;=15, "11-15", J153&lt;=20, "16-20", J153&gt;20, "21+")</f>
        <v>11-15</v>
      </c>
      <c r="L153">
        <v>20</v>
      </c>
      <c r="M153" s="4">
        <f t="shared" ref="M153:M154" si="71">L153</f>
        <v>20</v>
      </c>
      <c r="N153" s="4">
        <f t="shared" si="59"/>
        <v>20</v>
      </c>
      <c r="O153" s="5">
        <v>2.7</v>
      </c>
      <c r="P153" t="s">
        <v>81</v>
      </c>
      <c r="Q153" t="s">
        <v>54</v>
      </c>
      <c r="R153" s="1">
        <v>0.93</v>
      </c>
      <c r="S153" s="6">
        <f>R153</f>
        <v>0.93</v>
      </c>
    </row>
    <row r="154" spans="1:19" ht="13.5" x14ac:dyDescent="0.25">
      <c r="A154" t="s">
        <v>561</v>
      </c>
      <c r="B154" t="s">
        <v>562</v>
      </c>
      <c r="C154" t="str">
        <f t="shared" si="49"/>
        <v>Cindy Martin</v>
      </c>
      <c r="D154" t="s">
        <v>304</v>
      </c>
      <c r="E154" s="3" t="str">
        <f t="shared" si="58"/>
        <v>Female</v>
      </c>
      <c r="F154" s="5">
        <v>55</v>
      </c>
      <c r="G154" t="s">
        <v>23</v>
      </c>
      <c r="H154" t="s">
        <v>24</v>
      </c>
      <c r="I154" t="s">
        <v>285</v>
      </c>
      <c r="J154" s="5">
        <v>12</v>
      </c>
      <c r="K154" s="3" t="str" cm="1">
        <f t="array" ref="K154">_xlfn.IFS(J154&lt;=5, "0-5", J154&lt;=10, "6-10", J154&lt;=15, "11-15", J154&lt;=20, "16-20", J154&gt;20, "21+")</f>
        <v>11-15</v>
      </c>
      <c r="L154">
        <v>100</v>
      </c>
      <c r="M154" s="4">
        <f t="shared" si="71"/>
        <v>100</v>
      </c>
      <c r="N154" s="4">
        <f t="shared" si="59"/>
        <v>100</v>
      </c>
      <c r="O154" s="5">
        <v>1.8</v>
      </c>
      <c r="P154">
        <v>1</v>
      </c>
      <c r="Q154" t="s">
        <v>28</v>
      </c>
      <c r="S154" s="7"/>
    </row>
    <row r="155" spans="1:19" ht="13.5" x14ac:dyDescent="0.25">
      <c r="A155" t="s">
        <v>563</v>
      </c>
      <c r="B155" t="s">
        <v>564</v>
      </c>
      <c r="C155" t="str">
        <f t="shared" si="49"/>
        <v>Anne Edwards</v>
      </c>
      <c r="D155" t="s">
        <v>22</v>
      </c>
      <c r="E155" s="3" t="str">
        <f t="shared" si="58"/>
        <v>Female</v>
      </c>
      <c r="F155" s="5">
        <v>38</v>
      </c>
      <c r="G155" t="s">
        <v>88</v>
      </c>
      <c r="H155" t="s">
        <v>89</v>
      </c>
      <c r="I155" t="s">
        <v>283</v>
      </c>
      <c r="J155" s="5">
        <v>20</v>
      </c>
      <c r="K155" s="3" t="str" cm="1">
        <f t="array" ref="K155">_xlfn.IFS(J155&lt;=5, "0-5", J155&lt;=10, "6-10", J155&lt;=15, "11-15", J155&lt;=20, "16-20", J155&gt;20, "21+")</f>
        <v>16-20</v>
      </c>
      <c r="L155" s="2">
        <v>75</v>
      </c>
      <c r="M155" s="4" t="str">
        <f t="shared" ref="M155:M156" si="72">SUBSTITUTE(L155, "$","")</f>
        <v>75</v>
      </c>
      <c r="N155" s="4">
        <f t="shared" si="59"/>
        <v>75</v>
      </c>
      <c r="O155" s="5">
        <v>1.1000000000000001</v>
      </c>
      <c r="P155" t="s">
        <v>81</v>
      </c>
      <c r="Q155" t="s">
        <v>54</v>
      </c>
      <c r="R155" s="1">
        <v>0.71</v>
      </c>
      <c r="S155" s="6">
        <f t="shared" ref="S155:S156" si="73">R155</f>
        <v>0.71</v>
      </c>
    </row>
    <row r="156" spans="1:19" ht="13.5" x14ac:dyDescent="0.25">
      <c r="A156" t="s">
        <v>565</v>
      </c>
      <c r="B156" t="s">
        <v>566</v>
      </c>
      <c r="C156" t="str">
        <f t="shared" si="49"/>
        <v>Mitchell Martin</v>
      </c>
      <c r="D156" t="s">
        <v>32</v>
      </c>
      <c r="E156" s="3" t="str">
        <f t="shared" si="58"/>
        <v>Male</v>
      </c>
      <c r="F156" s="5">
        <v>47</v>
      </c>
      <c r="G156" t="s">
        <v>62</v>
      </c>
      <c r="H156" t="s">
        <v>63</v>
      </c>
      <c r="I156" t="s">
        <v>283</v>
      </c>
      <c r="J156" s="5">
        <v>29</v>
      </c>
      <c r="K156" s="3" t="str" cm="1">
        <f t="array" ref="K156">_xlfn.IFS(J156&lt;=5, "0-5", J156&lt;=10, "6-10", J156&lt;=15, "11-15", J156&lt;=20, "16-20", J156&gt;20, "21+")</f>
        <v>21+</v>
      </c>
      <c r="L156" s="2">
        <v>40</v>
      </c>
      <c r="M156" s="4" t="str">
        <f t="shared" si="72"/>
        <v>40</v>
      </c>
      <c r="N156" s="4">
        <f t="shared" si="59"/>
        <v>40</v>
      </c>
      <c r="O156" s="5">
        <v>4.3</v>
      </c>
      <c r="P156">
        <v>1</v>
      </c>
      <c r="Q156" t="s">
        <v>28</v>
      </c>
      <c r="R156" s="1">
        <v>0.95</v>
      </c>
      <c r="S156" s="6">
        <f t="shared" si="73"/>
        <v>0.95</v>
      </c>
    </row>
    <row r="157" spans="1:19" ht="13.5" x14ac:dyDescent="0.25">
      <c r="A157" t="s">
        <v>567</v>
      </c>
      <c r="B157" t="s">
        <v>568</v>
      </c>
      <c r="C157" t="str">
        <f t="shared" si="49"/>
        <v>Mitchell Patrick</v>
      </c>
      <c r="D157" t="s">
        <v>328</v>
      </c>
      <c r="E157" s="3" t="str">
        <f t="shared" si="58"/>
        <v>Male</v>
      </c>
      <c r="F157" s="5">
        <v>60</v>
      </c>
      <c r="G157" t="s">
        <v>47</v>
      </c>
      <c r="H157" t="s">
        <v>48</v>
      </c>
      <c r="I157" t="s">
        <v>290</v>
      </c>
      <c r="J157" s="5">
        <v>15</v>
      </c>
      <c r="K157" s="3" t="str" cm="1">
        <f t="array" ref="K157">_xlfn.IFS(J157&lt;=5, "0-5", J157&lt;=10, "6-10", J157&lt;=15, "11-15", J157&lt;=20, "16-20", J157&gt;20, "21+")</f>
        <v>11-15</v>
      </c>
      <c r="L157">
        <v>100</v>
      </c>
      <c r="M157" s="4">
        <f>L157</f>
        <v>100</v>
      </c>
      <c r="N157" s="4">
        <f t="shared" si="59"/>
        <v>100</v>
      </c>
      <c r="O157" s="5">
        <v>1.5</v>
      </c>
      <c r="P157">
        <v>0</v>
      </c>
      <c r="Q157" t="s">
        <v>54</v>
      </c>
      <c r="R157">
        <v>80</v>
      </c>
      <c r="S157" s="6">
        <f>R157/100</f>
        <v>0.8</v>
      </c>
    </row>
    <row r="158" spans="1:19" ht="13.5" x14ac:dyDescent="0.25">
      <c r="A158" t="s">
        <v>569</v>
      </c>
      <c r="B158" t="s">
        <v>570</v>
      </c>
      <c r="C158" t="str">
        <f t="shared" si="49"/>
        <v>Rebecca Lyons</v>
      </c>
      <c r="D158" t="s">
        <v>21</v>
      </c>
      <c r="E158" s="3" t="str">
        <f t="shared" si="58"/>
        <v>Female</v>
      </c>
      <c r="F158" s="5">
        <v>43</v>
      </c>
      <c r="G158" t="s">
        <v>253</v>
      </c>
      <c r="H158" t="s">
        <v>254</v>
      </c>
      <c r="I158" t="s">
        <v>291</v>
      </c>
      <c r="J158" s="5">
        <v>9</v>
      </c>
      <c r="K158" s="3" t="str" cm="1">
        <f t="array" ref="K158">_xlfn.IFS(J158&lt;=5, "0-5", J158&lt;=10, "6-10", J158&lt;=15, "11-15", J158&lt;=20, "16-20", J158&gt;20, "21+")</f>
        <v>6-10</v>
      </c>
      <c r="L158" s="2">
        <v>20</v>
      </c>
      <c r="M158" s="4" t="str">
        <f>SUBSTITUTE(L158, "$","")</f>
        <v>20</v>
      </c>
      <c r="N158" s="4">
        <f t="shared" si="59"/>
        <v>20</v>
      </c>
      <c r="O158" s="5">
        <v>2.2000000000000002</v>
      </c>
      <c r="P158" t="s">
        <v>64</v>
      </c>
      <c r="Q158" t="s">
        <v>54</v>
      </c>
      <c r="S158" s="7"/>
    </row>
    <row r="159" spans="1:19" ht="13.5" x14ac:dyDescent="0.25">
      <c r="A159" t="s">
        <v>571</v>
      </c>
      <c r="B159" t="s">
        <v>572</v>
      </c>
      <c r="C159" t="str">
        <f t="shared" si="49"/>
        <v>Christian Lopez</v>
      </c>
      <c r="D159" t="s">
        <v>32</v>
      </c>
      <c r="E159" s="3" t="str">
        <f t="shared" si="58"/>
        <v>Male</v>
      </c>
      <c r="F159" s="5">
        <v>56</v>
      </c>
      <c r="G159" t="s">
        <v>177</v>
      </c>
      <c r="H159" t="s">
        <v>178</v>
      </c>
      <c r="I159" t="s">
        <v>291</v>
      </c>
      <c r="K159" s="3" t="str" cm="1">
        <f t="array" ref="K159">_xlfn.IFS(J159&lt;=5, "0-5", J159&lt;=10, "6-10", J159&lt;=15, "11-15", J159&lt;=20, "16-20", J159&gt;20, "21+")</f>
        <v>0-5</v>
      </c>
      <c r="L159">
        <v>100</v>
      </c>
      <c r="M159" s="4">
        <f>L159</f>
        <v>100</v>
      </c>
      <c r="N159" s="4">
        <f t="shared" si="59"/>
        <v>100</v>
      </c>
      <c r="O159" s="5">
        <v>3.2</v>
      </c>
      <c r="P159">
        <v>0</v>
      </c>
      <c r="Q159" t="s">
        <v>54</v>
      </c>
      <c r="R159" s="1">
        <v>0.62</v>
      </c>
      <c r="S159" s="6">
        <f t="shared" ref="S159:S163" si="74">R159</f>
        <v>0.62</v>
      </c>
    </row>
    <row r="160" spans="1:19" ht="13.5" x14ac:dyDescent="0.25">
      <c r="A160" t="s">
        <v>573</v>
      </c>
      <c r="B160" t="s">
        <v>574</v>
      </c>
      <c r="C160" t="str">
        <f t="shared" si="49"/>
        <v>Nathan Blair</v>
      </c>
      <c r="D160" t="s">
        <v>31</v>
      </c>
      <c r="E160" s="3" t="str">
        <f t="shared" si="58"/>
        <v>Male</v>
      </c>
      <c r="F160" s="5">
        <v>42</v>
      </c>
      <c r="G160" t="s">
        <v>95</v>
      </c>
      <c r="H160" t="s">
        <v>96</v>
      </c>
      <c r="I160" t="s">
        <v>283</v>
      </c>
      <c r="J160" s="5">
        <v>2</v>
      </c>
      <c r="K160" s="3" t="str" cm="1">
        <f t="array" ref="K160">_xlfn.IFS(J160&lt;=5, "0-5", J160&lt;=10, "6-10", J160&lt;=15, "11-15", J160&lt;=20, "16-20", J160&gt;20, "21+")</f>
        <v>0-5</v>
      </c>
      <c r="L160" s="2">
        <v>50</v>
      </c>
      <c r="M160" s="4" t="str">
        <f>SUBSTITUTE(L160, "$","")</f>
        <v>50</v>
      </c>
      <c r="N160" s="4">
        <f t="shared" si="59"/>
        <v>50</v>
      </c>
      <c r="O160" s="5">
        <v>1.9</v>
      </c>
      <c r="P160" t="b">
        <v>0</v>
      </c>
      <c r="Q160" t="s">
        <v>54</v>
      </c>
      <c r="R160" s="1">
        <v>0.95</v>
      </c>
      <c r="S160" s="6">
        <f t="shared" si="74"/>
        <v>0.95</v>
      </c>
    </row>
    <row r="161" spans="1:19" ht="13.5" x14ac:dyDescent="0.25">
      <c r="A161" t="s">
        <v>575</v>
      </c>
      <c r="B161" t="s">
        <v>576</v>
      </c>
      <c r="C161" t="str">
        <f t="shared" si="49"/>
        <v>Patricia Lopez</v>
      </c>
      <c r="D161" t="s">
        <v>22</v>
      </c>
      <c r="E161" s="3" t="str">
        <f t="shared" si="58"/>
        <v>Female</v>
      </c>
      <c r="F161" s="5">
        <v>20</v>
      </c>
      <c r="G161" t="s">
        <v>84</v>
      </c>
      <c r="H161" t="s">
        <v>24</v>
      </c>
      <c r="I161" t="s">
        <v>287</v>
      </c>
      <c r="J161" s="5">
        <v>0</v>
      </c>
      <c r="K161" s="3" t="str" cm="1">
        <f t="array" ref="K161">_xlfn.IFS(J161&lt;=5, "0-5", J161&lt;=10, "6-10", J161&lt;=15, "11-15", J161&lt;=20, "16-20", J161&gt;20, "21+")</f>
        <v>0-5</v>
      </c>
      <c r="L161">
        <v>40</v>
      </c>
      <c r="M161" s="4">
        <f t="shared" ref="M161:M162" si="75">L161</f>
        <v>40</v>
      </c>
      <c r="N161" s="4">
        <f t="shared" si="59"/>
        <v>40</v>
      </c>
      <c r="O161" s="5">
        <v>2.5</v>
      </c>
      <c r="P161">
        <v>0</v>
      </c>
      <c r="Q161" t="s">
        <v>54</v>
      </c>
      <c r="R161" s="1">
        <v>0.79</v>
      </c>
      <c r="S161" s="6">
        <f t="shared" si="74"/>
        <v>0.79</v>
      </c>
    </row>
    <row r="162" spans="1:19" ht="13.5" x14ac:dyDescent="0.25">
      <c r="A162" t="s">
        <v>577</v>
      </c>
      <c r="B162" t="s">
        <v>578</v>
      </c>
      <c r="C162" t="str">
        <f t="shared" si="49"/>
        <v>Michelle Wu</v>
      </c>
      <c r="D162" t="s">
        <v>304</v>
      </c>
      <c r="E162" s="3" t="str">
        <f t="shared" si="58"/>
        <v>Female</v>
      </c>
      <c r="F162" s="5">
        <v>47</v>
      </c>
      <c r="G162" t="s">
        <v>104</v>
      </c>
      <c r="H162" t="s">
        <v>105</v>
      </c>
      <c r="I162" t="s">
        <v>286</v>
      </c>
      <c r="J162" s="5">
        <v>12</v>
      </c>
      <c r="K162" s="3" t="str" cm="1">
        <f t="array" ref="K162">_xlfn.IFS(J162&lt;=5, "0-5", J162&lt;=10, "6-10", J162&lt;=15, "11-15", J162&lt;=20, "16-20", J162&gt;20, "21+")</f>
        <v>11-15</v>
      </c>
      <c r="L162">
        <v>40</v>
      </c>
      <c r="M162" s="4">
        <f t="shared" si="75"/>
        <v>40</v>
      </c>
      <c r="N162" s="4">
        <f t="shared" si="59"/>
        <v>40</v>
      </c>
      <c r="O162" s="5">
        <v>4.5</v>
      </c>
      <c r="P162" t="s">
        <v>81</v>
      </c>
      <c r="Q162" t="s">
        <v>54</v>
      </c>
      <c r="R162" s="1">
        <v>0.62</v>
      </c>
      <c r="S162" s="6">
        <f t="shared" si="74"/>
        <v>0.62</v>
      </c>
    </row>
    <row r="163" spans="1:19" ht="13.5" x14ac:dyDescent="0.25">
      <c r="A163" t="s">
        <v>579</v>
      </c>
      <c r="B163" t="s">
        <v>580</v>
      </c>
      <c r="C163" t="str">
        <f t="shared" si="49"/>
        <v>Donald Mitchell</v>
      </c>
      <c r="D163" t="s">
        <v>43</v>
      </c>
      <c r="E163" s="3" t="str">
        <f t="shared" si="58"/>
        <v>Male</v>
      </c>
      <c r="G163" t="s">
        <v>23</v>
      </c>
      <c r="H163" t="s">
        <v>24</v>
      </c>
      <c r="I163" t="s">
        <v>291</v>
      </c>
      <c r="J163" s="5">
        <v>12</v>
      </c>
      <c r="K163" s="3" t="str" cm="1">
        <f t="array" ref="K163">_xlfn.IFS(J163&lt;=5, "0-5", J163&lt;=10, "6-10", J163&lt;=15, "11-15", J163&lt;=20, "16-20", J163&gt;20, "21+")</f>
        <v>11-15</v>
      </c>
      <c r="L163" s="2">
        <v>30</v>
      </c>
      <c r="M163" s="4" t="str">
        <f>SUBSTITUTE(L163, "$","")</f>
        <v>30</v>
      </c>
      <c r="N163" s="4">
        <f t="shared" si="59"/>
        <v>30</v>
      </c>
      <c r="O163" s="5">
        <v>4.0999999999999996</v>
      </c>
      <c r="P163" t="s">
        <v>81</v>
      </c>
      <c r="Q163" t="s">
        <v>54</v>
      </c>
      <c r="R163" s="1">
        <v>0.68</v>
      </c>
      <c r="S163" s="6">
        <f t="shared" si="74"/>
        <v>0.68</v>
      </c>
    </row>
    <row r="164" spans="1:19" ht="13.5" x14ac:dyDescent="0.25">
      <c r="A164" t="s">
        <v>581</v>
      </c>
      <c r="B164" t="s">
        <v>582</v>
      </c>
      <c r="C164" t="str">
        <f t="shared" si="49"/>
        <v>Sean Gordon</v>
      </c>
      <c r="D164" t="s">
        <v>328</v>
      </c>
      <c r="E164" s="3" t="str">
        <f t="shared" si="58"/>
        <v>Male</v>
      </c>
      <c r="F164" s="5">
        <v>56</v>
      </c>
      <c r="G164" t="s">
        <v>104</v>
      </c>
      <c r="H164" t="s">
        <v>105</v>
      </c>
      <c r="I164" t="s">
        <v>283</v>
      </c>
      <c r="J164" s="5">
        <v>15</v>
      </c>
      <c r="K164" s="3" t="str" cm="1">
        <f t="array" ref="K164">_xlfn.IFS(J164&lt;=5, "0-5", J164&lt;=10, "6-10", J164&lt;=15, "11-15", J164&lt;=20, "16-20", J164&gt;20, "21+")</f>
        <v>11-15</v>
      </c>
      <c r="L164" t="s">
        <v>92</v>
      </c>
      <c r="M164" s="4" t="str">
        <f t="shared" ref="M164:M165" si="76">_xlfn.TEXTAFTER(L164, " ")</f>
        <v>75</v>
      </c>
      <c r="N164" s="4">
        <f t="shared" si="59"/>
        <v>75</v>
      </c>
      <c r="O164" s="5">
        <v>0</v>
      </c>
      <c r="P164" t="s">
        <v>81</v>
      </c>
      <c r="Q164" t="s">
        <v>54</v>
      </c>
      <c r="S164" s="7"/>
    </row>
    <row r="165" spans="1:19" ht="13.5" x14ac:dyDescent="0.25">
      <c r="A165" t="s">
        <v>583</v>
      </c>
      <c r="B165" t="s">
        <v>584</v>
      </c>
      <c r="C165" t="str">
        <f t="shared" si="49"/>
        <v>Gregory Clarke</v>
      </c>
      <c r="D165" t="s">
        <v>32</v>
      </c>
      <c r="E165" s="3" t="str">
        <f t="shared" si="58"/>
        <v>Male</v>
      </c>
      <c r="F165" s="5">
        <v>59</v>
      </c>
      <c r="G165" t="s">
        <v>152</v>
      </c>
      <c r="H165" t="s">
        <v>39</v>
      </c>
      <c r="I165" t="s">
        <v>283</v>
      </c>
      <c r="J165" s="5">
        <v>29</v>
      </c>
      <c r="K165" s="3" t="str" cm="1">
        <f t="array" ref="K165">_xlfn.IFS(J165&lt;=5, "0-5", J165&lt;=10, "6-10", J165&lt;=15, "11-15", J165&lt;=20, "16-20", J165&gt;20, "21+")</f>
        <v>21+</v>
      </c>
      <c r="L165" t="s">
        <v>92</v>
      </c>
      <c r="M165" s="4" t="str">
        <f t="shared" si="76"/>
        <v>75</v>
      </c>
      <c r="N165" s="4">
        <f t="shared" si="59"/>
        <v>75</v>
      </c>
      <c r="P165">
        <v>0</v>
      </c>
      <c r="Q165" t="s">
        <v>54</v>
      </c>
      <c r="R165" s="1">
        <v>0.8</v>
      </c>
      <c r="S165" s="6">
        <f t="shared" ref="S165:S169" si="77">R165</f>
        <v>0.8</v>
      </c>
    </row>
    <row r="166" spans="1:19" ht="13.5" x14ac:dyDescent="0.25">
      <c r="A166" t="s">
        <v>585</v>
      </c>
      <c r="B166" t="s">
        <v>586</v>
      </c>
      <c r="C166" t="str">
        <f t="shared" si="49"/>
        <v>Steven Whitney</v>
      </c>
      <c r="D166" t="s">
        <v>311</v>
      </c>
      <c r="E166" s="3" t="str">
        <f t="shared" si="58"/>
        <v>Male</v>
      </c>
      <c r="F166" s="5">
        <v>56</v>
      </c>
      <c r="G166" t="s">
        <v>88</v>
      </c>
      <c r="H166" t="s">
        <v>89</v>
      </c>
      <c r="I166" t="s">
        <v>288</v>
      </c>
      <c r="J166" s="5">
        <v>15</v>
      </c>
      <c r="K166" s="3" t="str" cm="1">
        <f t="array" ref="K166">_xlfn.IFS(J166&lt;=5, "0-5", J166&lt;=10, "6-10", J166&lt;=15, "11-15", J166&lt;=20, "16-20", J166&gt;20, "21+")</f>
        <v>11-15</v>
      </c>
      <c r="L166">
        <v>40</v>
      </c>
      <c r="M166" s="4">
        <f>L166</f>
        <v>40</v>
      </c>
      <c r="N166" s="4">
        <f t="shared" si="59"/>
        <v>40</v>
      </c>
      <c r="O166" s="5">
        <v>3.7</v>
      </c>
      <c r="R166" s="1">
        <v>0.92</v>
      </c>
      <c r="S166" s="6">
        <f t="shared" si="77"/>
        <v>0.92</v>
      </c>
    </row>
    <row r="167" spans="1:19" ht="13.5" x14ac:dyDescent="0.25">
      <c r="A167" t="s">
        <v>587</v>
      </c>
      <c r="B167" t="s">
        <v>588</v>
      </c>
      <c r="C167" t="str">
        <f t="shared" si="49"/>
        <v>Robin Acosta</v>
      </c>
      <c r="D167" t="s">
        <v>304</v>
      </c>
      <c r="E167" s="3" t="str">
        <f t="shared" si="58"/>
        <v>Female</v>
      </c>
      <c r="F167" s="5">
        <v>31</v>
      </c>
      <c r="G167" t="s">
        <v>177</v>
      </c>
      <c r="H167" t="s">
        <v>178</v>
      </c>
      <c r="I167" t="s">
        <v>290</v>
      </c>
      <c r="K167" s="3" t="str" cm="1">
        <f t="array" ref="K167">_xlfn.IFS(J167&lt;=5, "0-5", J167&lt;=10, "6-10", J167&lt;=15, "11-15", J167&lt;=20, "16-20", J167&gt;20, "21+")</f>
        <v>0-5</v>
      </c>
      <c r="L167" t="s">
        <v>92</v>
      </c>
      <c r="M167" s="4" t="str">
        <f t="shared" ref="M167" si="78">_xlfn.TEXTAFTER(L167, " ")</f>
        <v>75</v>
      </c>
      <c r="N167" s="4">
        <f t="shared" si="59"/>
        <v>75</v>
      </c>
      <c r="O167" s="5">
        <v>1.3</v>
      </c>
      <c r="P167">
        <v>1</v>
      </c>
      <c r="Q167" t="s">
        <v>28</v>
      </c>
      <c r="R167" s="1">
        <v>0.65</v>
      </c>
      <c r="S167" s="6">
        <f t="shared" si="77"/>
        <v>0.65</v>
      </c>
    </row>
    <row r="168" spans="1:19" ht="13.5" x14ac:dyDescent="0.25">
      <c r="A168" t="s">
        <v>589</v>
      </c>
      <c r="B168" t="s">
        <v>590</v>
      </c>
      <c r="C168" t="str">
        <f t="shared" si="49"/>
        <v>John Smith</v>
      </c>
      <c r="D168" t="s">
        <v>43</v>
      </c>
      <c r="E168" s="3" t="str">
        <f t="shared" si="58"/>
        <v>Male</v>
      </c>
      <c r="F168" s="5">
        <v>60</v>
      </c>
      <c r="G168" t="s">
        <v>62</v>
      </c>
      <c r="H168" t="s">
        <v>63</v>
      </c>
      <c r="I168" t="s">
        <v>285</v>
      </c>
      <c r="J168" s="5">
        <v>33</v>
      </c>
      <c r="K168" s="3" t="str" cm="1">
        <f t="array" ref="K168">_xlfn.IFS(J168&lt;=5, "0-5", J168&lt;=10, "6-10", J168&lt;=15, "11-15", J168&lt;=20, "16-20", J168&gt;20, "21+")</f>
        <v>21+</v>
      </c>
      <c r="L168">
        <v>40</v>
      </c>
      <c r="M168" s="4">
        <f t="shared" ref="M168:M173" si="79">L168</f>
        <v>40</v>
      </c>
      <c r="N168" s="4">
        <f t="shared" si="59"/>
        <v>40</v>
      </c>
      <c r="O168" s="5">
        <v>3.6</v>
      </c>
      <c r="P168">
        <v>1</v>
      </c>
      <c r="Q168" t="s">
        <v>28</v>
      </c>
      <c r="R168" s="1">
        <v>0.87</v>
      </c>
      <c r="S168" s="6">
        <f t="shared" si="77"/>
        <v>0.87</v>
      </c>
    </row>
    <row r="169" spans="1:19" ht="13.5" x14ac:dyDescent="0.25">
      <c r="A169" t="s">
        <v>591</v>
      </c>
      <c r="B169" t="s">
        <v>592</v>
      </c>
      <c r="C169" t="str">
        <f t="shared" si="49"/>
        <v>Susan Baker</v>
      </c>
      <c r="D169" t="s">
        <v>21</v>
      </c>
      <c r="E169" s="3" t="str">
        <f t="shared" si="58"/>
        <v>Female</v>
      </c>
      <c r="F169" s="5">
        <v>31</v>
      </c>
      <c r="G169" t="s">
        <v>125</v>
      </c>
      <c r="H169" t="s">
        <v>39</v>
      </c>
      <c r="I169" t="s">
        <v>290</v>
      </c>
      <c r="J169" s="5">
        <v>10</v>
      </c>
      <c r="K169" s="3" t="str" cm="1">
        <f t="array" ref="K169">_xlfn.IFS(J169&lt;=5, "0-5", J169&lt;=10, "6-10", J169&lt;=15, "11-15", J169&lt;=20, "16-20", J169&gt;20, "21+")</f>
        <v>6-10</v>
      </c>
      <c r="L169">
        <v>75</v>
      </c>
      <c r="M169" s="4">
        <f t="shared" si="79"/>
        <v>75</v>
      </c>
      <c r="N169" s="4">
        <f t="shared" si="59"/>
        <v>75</v>
      </c>
      <c r="O169" s="5">
        <v>0</v>
      </c>
      <c r="P169" t="s">
        <v>81</v>
      </c>
      <c r="Q169" t="s">
        <v>54</v>
      </c>
      <c r="R169" s="1">
        <v>0.7</v>
      </c>
      <c r="S169" s="6">
        <f t="shared" si="77"/>
        <v>0.7</v>
      </c>
    </row>
    <row r="170" spans="1:19" ht="13.5" x14ac:dyDescent="0.25">
      <c r="A170" t="s">
        <v>593</v>
      </c>
      <c r="B170" t="s">
        <v>594</v>
      </c>
      <c r="C170" t="str">
        <f t="shared" si="49"/>
        <v>Anthony Larsen</v>
      </c>
      <c r="D170" t="s">
        <v>311</v>
      </c>
      <c r="E170" s="3" t="str">
        <f t="shared" si="58"/>
        <v>Male</v>
      </c>
      <c r="F170" s="5">
        <v>60</v>
      </c>
      <c r="G170" t="s">
        <v>23</v>
      </c>
      <c r="H170" t="s">
        <v>24</v>
      </c>
      <c r="I170" t="s">
        <v>288</v>
      </c>
      <c r="J170" s="5">
        <v>20</v>
      </c>
      <c r="K170" s="3" t="str" cm="1">
        <f t="array" ref="K170">_xlfn.IFS(J170&lt;=5, "0-5", J170&lt;=10, "6-10", J170&lt;=15, "11-15", J170&lt;=20, "16-20", J170&gt;20, "21+")</f>
        <v>16-20</v>
      </c>
      <c r="L170">
        <v>40</v>
      </c>
      <c r="M170" s="4">
        <f t="shared" si="79"/>
        <v>40</v>
      </c>
      <c r="N170" s="4">
        <f t="shared" si="59"/>
        <v>40</v>
      </c>
      <c r="O170" s="5">
        <v>1.4</v>
      </c>
      <c r="P170" t="s">
        <v>81</v>
      </c>
      <c r="Q170" t="s">
        <v>54</v>
      </c>
      <c r="R170">
        <v>87</v>
      </c>
      <c r="S170" s="6">
        <f>R170/100</f>
        <v>0.87</v>
      </c>
    </row>
    <row r="171" spans="1:19" ht="13.5" x14ac:dyDescent="0.25">
      <c r="A171" t="s">
        <v>595</v>
      </c>
      <c r="B171" t="s">
        <v>596</v>
      </c>
      <c r="C171" t="str">
        <f t="shared" si="49"/>
        <v>Nicholas Carpenter</v>
      </c>
      <c r="D171" t="s">
        <v>311</v>
      </c>
      <c r="E171" s="3" t="str">
        <f t="shared" si="58"/>
        <v>Male</v>
      </c>
      <c r="F171" s="5">
        <v>46</v>
      </c>
      <c r="G171" t="s">
        <v>132</v>
      </c>
      <c r="H171" t="s">
        <v>133</v>
      </c>
      <c r="I171" t="s">
        <v>283</v>
      </c>
      <c r="J171" s="5">
        <v>23</v>
      </c>
      <c r="K171" s="3" t="str" cm="1">
        <f t="array" ref="K171">_xlfn.IFS(J171&lt;=5, "0-5", J171&lt;=10, "6-10", J171&lt;=15, "11-15", J171&lt;=20, "16-20", J171&gt;20, "21+")</f>
        <v>21+</v>
      </c>
      <c r="L171">
        <v>20</v>
      </c>
      <c r="M171" s="4">
        <f t="shared" si="79"/>
        <v>20</v>
      </c>
      <c r="N171" s="4">
        <f t="shared" si="59"/>
        <v>20</v>
      </c>
      <c r="O171" s="5">
        <v>2.9</v>
      </c>
      <c r="P171" t="s">
        <v>64</v>
      </c>
      <c r="Q171" t="s">
        <v>54</v>
      </c>
      <c r="R171" s="1">
        <v>0.72</v>
      </c>
      <c r="S171" s="6">
        <f t="shared" ref="S171:S173" si="80">R171</f>
        <v>0.72</v>
      </c>
    </row>
    <row r="172" spans="1:19" ht="13.5" x14ac:dyDescent="0.25">
      <c r="A172" t="s">
        <v>597</v>
      </c>
      <c r="B172" t="s">
        <v>598</v>
      </c>
      <c r="C172" t="str">
        <f t="shared" si="49"/>
        <v>Debra Salazar</v>
      </c>
      <c r="D172" t="s">
        <v>301</v>
      </c>
      <c r="E172" s="3" t="str">
        <f t="shared" si="58"/>
        <v>Female</v>
      </c>
      <c r="G172" t="s">
        <v>52</v>
      </c>
      <c r="H172" t="s">
        <v>53</v>
      </c>
      <c r="I172" t="s">
        <v>292</v>
      </c>
      <c r="K172" s="3" t="str" cm="1">
        <f t="array" ref="K172">_xlfn.IFS(J172&lt;=5, "0-5", J172&lt;=10, "6-10", J172&lt;=15, "11-15", J172&lt;=20, "16-20", J172&gt;20, "21+")</f>
        <v>0-5</v>
      </c>
      <c r="L172">
        <v>40</v>
      </c>
      <c r="M172" s="4">
        <f t="shared" si="79"/>
        <v>40</v>
      </c>
      <c r="N172" s="4">
        <f t="shared" si="59"/>
        <v>40</v>
      </c>
      <c r="O172" s="5">
        <v>2.8</v>
      </c>
      <c r="P172" t="s">
        <v>64</v>
      </c>
      <c r="Q172" t="s">
        <v>54</v>
      </c>
      <c r="R172" s="1">
        <v>0.8</v>
      </c>
      <c r="S172" s="6">
        <f t="shared" si="80"/>
        <v>0.8</v>
      </c>
    </row>
    <row r="173" spans="1:19" ht="13.5" x14ac:dyDescent="0.25">
      <c r="A173" t="s">
        <v>599</v>
      </c>
      <c r="B173" t="s">
        <v>600</v>
      </c>
      <c r="C173" t="str">
        <f t="shared" si="49"/>
        <v>William Smith</v>
      </c>
      <c r="D173" t="s">
        <v>32</v>
      </c>
      <c r="E173" s="3" t="str">
        <f t="shared" si="58"/>
        <v>Male</v>
      </c>
      <c r="F173" s="5">
        <v>34</v>
      </c>
      <c r="G173" t="s">
        <v>88</v>
      </c>
      <c r="H173" t="s">
        <v>89</v>
      </c>
      <c r="I173" t="s">
        <v>286</v>
      </c>
      <c r="J173" s="5">
        <v>0</v>
      </c>
      <c r="K173" s="3" t="str" cm="1">
        <f t="array" ref="K173">_xlfn.IFS(J173&lt;=5, "0-5", J173&lt;=10, "6-10", J173&lt;=15, "11-15", J173&lt;=20, "16-20", J173&gt;20, "21+")</f>
        <v>0-5</v>
      </c>
      <c r="L173">
        <v>20</v>
      </c>
      <c r="M173" s="4">
        <f t="shared" si="79"/>
        <v>20</v>
      </c>
      <c r="N173" s="4">
        <f t="shared" si="59"/>
        <v>20</v>
      </c>
      <c r="O173" s="5">
        <v>1.7</v>
      </c>
      <c r="P173">
        <v>0</v>
      </c>
      <c r="Q173" t="s">
        <v>54</v>
      </c>
      <c r="R173" s="1">
        <v>0.66</v>
      </c>
      <c r="S173" s="6">
        <f t="shared" si="80"/>
        <v>0.66</v>
      </c>
    </row>
    <row r="174" spans="1:19" ht="13.5" x14ac:dyDescent="0.25">
      <c r="A174" t="s">
        <v>601</v>
      </c>
      <c r="B174" t="s">
        <v>602</v>
      </c>
      <c r="C174" t="str">
        <f t="shared" si="49"/>
        <v>Caroline Gross</v>
      </c>
      <c r="D174" t="s">
        <v>37</v>
      </c>
      <c r="E174" s="3" t="str">
        <f t="shared" si="58"/>
        <v>Female</v>
      </c>
      <c r="F174" s="5">
        <v>42</v>
      </c>
      <c r="G174" t="s">
        <v>52</v>
      </c>
      <c r="H174" t="s">
        <v>53</v>
      </c>
      <c r="I174" t="s">
        <v>287</v>
      </c>
      <c r="J174" s="5">
        <v>7</v>
      </c>
      <c r="K174" s="3" t="str" cm="1">
        <f t="array" ref="K174">_xlfn.IFS(J174&lt;=5, "0-5", J174&lt;=10, "6-10", J174&lt;=15, "11-15", J174&lt;=20, "16-20", J174&gt;20, "21+")</f>
        <v>6-10</v>
      </c>
      <c r="L174" t="s">
        <v>99</v>
      </c>
      <c r="M174" s="4" t="str">
        <f t="shared" ref="M174:M175" si="81">_xlfn.TEXTAFTER(L174, " ")</f>
        <v>40</v>
      </c>
      <c r="N174" s="4">
        <f t="shared" si="59"/>
        <v>40</v>
      </c>
      <c r="O174" s="5">
        <v>0</v>
      </c>
      <c r="P174">
        <v>1</v>
      </c>
      <c r="Q174" t="s">
        <v>28</v>
      </c>
      <c r="S174" s="7"/>
    </row>
    <row r="175" spans="1:19" ht="13.5" x14ac:dyDescent="0.25">
      <c r="A175" t="s">
        <v>603</v>
      </c>
      <c r="B175" t="s">
        <v>604</v>
      </c>
      <c r="C175" t="str">
        <f t="shared" si="49"/>
        <v>Jeremy Sawyer</v>
      </c>
      <c r="D175" t="s">
        <v>328</v>
      </c>
      <c r="E175" s="3" t="str">
        <f t="shared" si="58"/>
        <v>Male</v>
      </c>
      <c r="F175" s="5">
        <v>31</v>
      </c>
      <c r="G175" t="s">
        <v>152</v>
      </c>
      <c r="H175" t="s">
        <v>39</v>
      </c>
      <c r="I175" t="s">
        <v>291</v>
      </c>
      <c r="J175" s="5">
        <v>4</v>
      </c>
      <c r="K175" s="3" t="str" cm="1">
        <f t="array" ref="K175">_xlfn.IFS(J175&lt;=5, "0-5", J175&lt;=10, "6-10", J175&lt;=15, "11-15", J175&lt;=20, "16-20", J175&gt;20, "21+")</f>
        <v>0-5</v>
      </c>
      <c r="L175" t="s">
        <v>92</v>
      </c>
      <c r="M175" s="4" t="str">
        <f t="shared" si="81"/>
        <v>75</v>
      </c>
      <c r="N175" s="4">
        <f t="shared" si="59"/>
        <v>75</v>
      </c>
      <c r="O175" s="5">
        <v>1.1000000000000001</v>
      </c>
      <c r="P175" t="b">
        <v>1</v>
      </c>
      <c r="Q175" t="s">
        <v>28</v>
      </c>
      <c r="R175" s="1">
        <v>0.64</v>
      </c>
      <c r="S175" s="6">
        <f t="shared" ref="S175:S187" si="82">R175</f>
        <v>0.64</v>
      </c>
    </row>
    <row r="176" spans="1:19" ht="13.5" x14ac:dyDescent="0.25">
      <c r="A176" t="s">
        <v>605</v>
      </c>
      <c r="B176" t="s">
        <v>606</v>
      </c>
      <c r="C176" t="str">
        <f t="shared" si="49"/>
        <v>Eduardo Burns</v>
      </c>
      <c r="D176" t="s">
        <v>31</v>
      </c>
      <c r="E176" s="3" t="str">
        <f t="shared" si="58"/>
        <v>Male</v>
      </c>
      <c r="F176" s="5">
        <v>29</v>
      </c>
      <c r="G176" t="s">
        <v>47</v>
      </c>
      <c r="H176" t="s">
        <v>48</v>
      </c>
      <c r="I176" t="s">
        <v>286</v>
      </c>
      <c r="J176" s="5">
        <v>9</v>
      </c>
      <c r="K176" s="3" t="str" cm="1">
        <f t="array" ref="K176">_xlfn.IFS(J176&lt;=5, "0-5", J176&lt;=10, "6-10", J176&lt;=15, "11-15", J176&lt;=20, "16-20", J176&gt;20, "21+")</f>
        <v>6-10</v>
      </c>
      <c r="L176">
        <v>20</v>
      </c>
      <c r="M176" s="4">
        <f t="shared" ref="M176:M178" si="83">L176</f>
        <v>20</v>
      </c>
      <c r="N176" s="4">
        <f t="shared" si="59"/>
        <v>20</v>
      </c>
      <c r="R176" s="1">
        <v>0.68</v>
      </c>
      <c r="S176" s="6">
        <f t="shared" si="82"/>
        <v>0.68</v>
      </c>
    </row>
    <row r="177" spans="1:19" ht="13.5" x14ac:dyDescent="0.25">
      <c r="A177" t="s">
        <v>607</v>
      </c>
      <c r="B177" t="s">
        <v>608</v>
      </c>
      <c r="C177" t="str">
        <f t="shared" ref="C177:C240" si="84">B177</f>
        <v>Amanda Jones</v>
      </c>
      <c r="D177" t="s">
        <v>304</v>
      </c>
      <c r="E177" s="3" t="str">
        <f t="shared" si="58"/>
        <v>Female</v>
      </c>
      <c r="F177" s="5">
        <v>57</v>
      </c>
      <c r="G177" t="s">
        <v>38</v>
      </c>
      <c r="H177" t="s">
        <v>39</v>
      </c>
      <c r="I177" t="s">
        <v>287</v>
      </c>
      <c r="J177" s="5">
        <v>17</v>
      </c>
      <c r="K177" s="3" t="str" cm="1">
        <f t="array" ref="K177">_xlfn.IFS(J177&lt;=5, "0-5", J177&lt;=10, "6-10", J177&lt;=15, "11-15", J177&lt;=20, "16-20", J177&gt;20, "21+")</f>
        <v>16-20</v>
      </c>
      <c r="L177">
        <v>20</v>
      </c>
      <c r="M177" s="4">
        <f t="shared" si="83"/>
        <v>20</v>
      </c>
      <c r="N177" s="4">
        <f t="shared" si="59"/>
        <v>20</v>
      </c>
      <c r="O177" s="5">
        <v>3.6</v>
      </c>
      <c r="P177">
        <v>0</v>
      </c>
      <c r="Q177" t="s">
        <v>54</v>
      </c>
      <c r="R177" s="1">
        <v>0.63</v>
      </c>
      <c r="S177" s="6">
        <f t="shared" si="82"/>
        <v>0.63</v>
      </c>
    </row>
    <row r="178" spans="1:19" ht="13.5" x14ac:dyDescent="0.25">
      <c r="A178" t="s">
        <v>609</v>
      </c>
      <c r="B178" t="s">
        <v>610</v>
      </c>
      <c r="C178" t="str">
        <f t="shared" si="84"/>
        <v>Frederick Ware</v>
      </c>
      <c r="D178" t="s">
        <v>311</v>
      </c>
      <c r="E178" s="3" t="str">
        <f t="shared" si="58"/>
        <v>Male</v>
      </c>
      <c r="F178" s="5">
        <v>47</v>
      </c>
      <c r="G178" t="s">
        <v>146</v>
      </c>
      <c r="H178" t="s">
        <v>147</v>
      </c>
      <c r="I178" t="s">
        <v>283</v>
      </c>
      <c r="J178" s="5">
        <v>8</v>
      </c>
      <c r="K178" s="3" t="str" cm="1">
        <f t="array" ref="K178">_xlfn.IFS(J178&lt;=5, "0-5", J178&lt;=10, "6-10", J178&lt;=15, "11-15", J178&lt;=20, "16-20", J178&gt;20, "21+")</f>
        <v>6-10</v>
      </c>
      <c r="L178">
        <v>20</v>
      </c>
      <c r="M178" s="4">
        <f t="shared" si="83"/>
        <v>20</v>
      </c>
      <c r="N178" s="4">
        <f t="shared" si="59"/>
        <v>20</v>
      </c>
      <c r="O178" s="5">
        <v>4.5</v>
      </c>
      <c r="P178">
        <v>1</v>
      </c>
      <c r="Q178" t="s">
        <v>28</v>
      </c>
      <c r="R178" s="1">
        <v>0.72</v>
      </c>
      <c r="S178" s="6">
        <f t="shared" si="82"/>
        <v>0.72</v>
      </c>
    </row>
    <row r="179" spans="1:19" ht="13.5" x14ac:dyDescent="0.25">
      <c r="A179" t="s">
        <v>271</v>
      </c>
      <c r="B179" t="s">
        <v>272</v>
      </c>
      <c r="C179" t="str">
        <f t="shared" si="84"/>
        <v>Michael Black</v>
      </c>
      <c r="D179" t="s">
        <v>311</v>
      </c>
      <c r="E179" s="3" t="str">
        <f t="shared" si="58"/>
        <v>Male</v>
      </c>
      <c r="F179" s="5">
        <v>47</v>
      </c>
      <c r="G179" t="s">
        <v>177</v>
      </c>
      <c r="H179" t="s">
        <v>178</v>
      </c>
      <c r="I179" t="s">
        <v>25</v>
      </c>
      <c r="J179" s="5">
        <v>14</v>
      </c>
      <c r="K179" s="3" t="str" cm="1">
        <f t="array" ref="K179">_xlfn.IFS(J179&lt;=5, "0-5", J179&lt;=10, "6-10", J179&lt;=15, "11-15", J179&lt;=20, "16-20", J179&gt;20, "21+")</f>
        <v>11-15</v>
      </c>
      <c r="L179" s="2">
        <v>30</v>
      </c>
      <c r="M179" s="4" t="str">
        <f>SUBSTITUTE(L179, "$","")</f>
        <v>30</v>
      </c>
      <c r="N179" s="4">
        <f t="shared" si="59"/>
        <v>30</v>
      </c>
      <c r="O179" s="5">
        <v>0</v>
      </c>
      <c r="P179" t="b">
        <v>1</v>
      </c>
      <c r="Q179" t="s">
        <v>28</v>
      </c>
      <c r="R179" s="1">
        <v>0.86</v>
      </c>
      <c r="S179" s="6">
        <f t="shared" si="82"/>
        <v>0.86</v>
      </c>
    </row>
    <row r="180" spans="1:19" ht="13.5" x14ac:dyDescent="0.25">
      <c r="A180" t="s">
        <v>611</v>
      </c>
      <c r="B180" t="s">
        <v>612</v>
      </c>
      <c r="C180" t="str">
        <f t="shared" si="84"/>
        <v>Patricia Sanders</v>
      </c>
      <c r="D180" t="s">
        <v>21</v>
      </c>
      <c r="E180" s="3" t="str">
        <f t="shared" si="58"/>
        <v>Female</v>
      </c>
      <c r="F180" s="5">
        <v>45</v>
      </c>
      <c r="G180" t="s">
        <v>132</v>
      </c>
      <c r="H180" t="s">
        <v>133</v>
      </c>
      <c r="I180" t="s">
        <v>287</v>
      </c>
      <c r="J180" s="5">
        <v>21</v>
      </c>
      <c r="K180" s="3" t="str" cm="1">
        <f t="array" ref="K180">_xlfn.IFS(J180&lt;=5, "0-5", J180&lt;=10, "6-10", J180&lt;=15, "11-15", J180&lt;=20, "16-20", J180&gt;20, "21+")</f>
        <v>21+</v>
      </c>
      <c r="L180" t="s">
        <v>72</v>
      </c>
      <c r="M180" s="4" t="str">
        <f t="shared" ref="M180" si="85">_xlfn.TEXTAFTER(L180, " ")</f>
        <v>30</v>
      </c>
      <c r="N180" s="4">
        <f t="shared" si="59"/>
        <v>30</v>
      </c>
      <c r="O180" s="5">
        <v>1.5</v>
      </c>
      <c r="P180">
        <v>1</v>
      </c>
      <c r="Q180" t="s">
        <v>28</v>
      </c>
      <c r="R180" s="1">
        <v>0.73</v>
      </c>
      <c r="S180" s="6">
        <f t="shared" si="82"/>
        <v>0.73</v>
      </c>
    </row>
    <row r="181" spans="1:19" ht="13.5" x14ac:dyDescent="0.25">
      <c r="A181" t="s">
        <v>613</v>
      </c>
      <c r="B181" t="s">
        <v>614</v>
      </c>
      <c r="C181" t="str">
        <f t="shared" si="84"/>
        <v>Marc Joseph</v>
      </c>
      <c r="D181" t="s">
        <v>43</v>
      </c>
      <c r="E181" s="3" t="str">
        <f t="shared" si="58"/>
        <v>Male</v>
      </c>
      <c r="F181" s="5">
        <v>24</v>
      </c>
      <c r="G181" t="s">
        <v>67</v>
      </c>
      <c r="H181" t="s">
        <v>68</v>
      </c>
      <c r="I181" t="s">
        <v>284</v>
      </c>
      <c r="J181" s="5">
        <v>1</v>
      </c>
      <c r="K181" s="3" t="str" cm="1">
        <f t="array" ref="K181">_xlfn.IFS(J181&lt;=5, "0-5", J181&lt;=10, "6-10", J181&lt;=15, "11-15", J181&lt;=20, "16-20", J181&gt;20, "21+")</f>
        <v>0-5</v>
      </c>
      <c r="L181" s="2">
        <v>30</v>
      </c>
      <c r="M181" s="4" t="str">
        <f>SUBSTITUTE(L181, "$","")</f>
        <v>30</v>
      </c>
      <c r="N181" s="4">
        <f t="shared" si="59"/>
        <v>30</v>
      </c>
      <c r="O181" s="5">
        <v>3.7</v>
      </c>
      <c r="P181" t="s">
        <v>81</v>
      </c>
      <c r="Q181" t="s">
        <v>54</v>
      </c>
      <c r="R181" s="1">
        <v>0.95</v>
      </c>
      <c r="S181" s="6">
        <f t="shared" si="82"/>
        <v>0.95</v>
      </c>
    </row>
    <row r="182" spans="1:19" ht="13.5" x14ac:dyDescent="0.25">
      <c r="A182" t="s">
        <v>615</v>
      </c>
      <c r="B182" t="s">
        <v>616</v>
      </c>
      <c r="C182" t="str">
        <f t="shared" si="84"/>
        <v>Vanessa White</v>
      </c>
      <c r="D182" t="s">
        <v>21</v>
      </c>
      <c r="E182" s="3" t="str">
        <f t="shared" si="58"/>
        <v>Female</v>
      </c>
      <c r="F182" s="5">
        <v>31</v>
      </c>
      <c r="G182" t="s">
        <v>23</v>
      </c>
      <c r="H182" t="s">
        <v>24</v>
      </c>
      <c r="I182" t="s">
        <v>285</v>
      </c>
      <c r="J182" s="5">
        <v>12</v>
      </c>
      <c r="K182" s="3" t="str" cm="1">
        <f t="array" ref="K182">_xlfn.IFS(J182&lt;=5, "0-5", J182&lt;=10, "6-10", J182&lt;=15, "11-15", J182&lt;=20, "16-20", J182&gt;20, "21+")</f>
        <v>11-15</v>
      </c>
      <c r="L182">
        <v>20</v>
      </c>
      <c r="M182" s="4">
        <f>L182</f>
        <v>20</v>
      </c>
      <c r="N182" s="4">
        <f t="shared" si="59"/>
        <v>20</v>
      </c>
      <c r="O182" s="5">
        <v>2.2999999999999998</v>
      </c>
      <c r="P182" t="b">
        <v>0</v>
      </c>
      <c r="Q182" t="s">
        <v>54</v>
      </c>
      <c r="R182" s="1">
        <v>0.9</v>
      </c>
      <c r="S182" s="6">
        <f t="shared" si="82"/>
        <v>0.9</v>
      </c>
    </row>
    <row r="183" spans="1:19" ht="13.5" x14ac:dyDescent="0.25">
      <c r="A183" t="s">
        <v>617</v>
      </c>
      <c r="B183" t="s">
        <v>618</v>
      </c>
      <c r="C183" t="str">
        <f t="shared" si="84"/>
        <v>Jennifer Garcia</v>
      </c>
      <c r="D183" t="s">
        <v>301</v>
      </c>
      <c r="E183" s="3" t="str">
        <f t="shared" si="58"/>
        <v>Female</v>
      </c>
      <c r="F183" s="5">
        <v>20</v>
      </c>
      <c r="G183" t="s">
        <v>44</v>
      </c>
      <c r="H183" t="s">
        <v>24</v>
      </c>
      <c r="I183" t="s">
        <v>287</v>
      </c>
      <c r="J183" s="5">
        <v>2</v>
      </c>
      <c r="K183" s="3" t="str" cm="1">
        <f t="array" ref="K183">_xlfn.IFS(J183&lt;=5, "0-5", J183&lt;=10, "6-10", J183&lt;=15, "11-15", J183&lt;=20, "16-20", J183&gt;20, "21+")</f>
        <v>0-5</v>
      </c>
      <c r="L183" s="2">
        <v>20</v>
      </c>
      <c r="M183" s="4" t="str">
        <f>SUBSTITUTE(L183, "$","")</f>
        <v>20</v>
      </c>
      <c r="N183" s="4">
        <f t="shared" si="59"/>
        <v>20</v>
      </c>
      <c r="O183" s="5">
        <v>2.8</v>
      </c>
      <c r="P183">
        <v>0</v>
      </c>
      <c r="Q183" t="s">
        <v>54</v>
      </c>
      <c r="R183" s="1">
        <v>0.78</v>
      </c>
      <c r="S183" s="6">
        <f t="shared" si="82"/>
        <v>0.78</v>
      </c>
    </row>
    <row r="184" spans="1:19" ht="13.5" x14ac:dyDescent="0.25">
      <c r="A184" t="s">
        <v>619</v>
      </c>
      <c r="B184" t="s">
        <v>620</v>
      </c>
      <c r="C184" t="str">
        <f t="shared" si="84"/>
        <v>Michael Zavala</v>
      </c>
      <c r="D184" t="s">
        <v>311</v>
      </c>
      <c r="E184" s="3" t="str">
        <f t="shared" si="58"/>
        <v>Male</v>
      </c>
      <c r="F184" s="5">
        <v>38</v>
      </c>
      <c r="G184" t="s">
        <v>88</v>
      </c>
      <c r="H184" t="s">
        <v>89</v>
      </c>
      <c r="I184" t="s">
        <v>290</v>
      </c>
      <c r="J184" s="5">
        <v>3</v>
      </c>
      <c r="K184" s="3" t="str" cm="1">
        <f t="array" ref="K184">_xlfn.IFS(J184&lt;=5, "0-5", J184&lt;=10, "6-10", J184&lt;=15, "11-15", J184&lt;=20, "16-20", J184&gt;20, "21+")</f>
        <v>0-5</v>
      </c>
      <c r="L184">
        <v>30</v>
      </c>
      <c r="M184" s="4">
        <f>L184</f>
        <v>30</v>
      </c>
      <c r="N184" s="4">
        <f t="shared" si="59"/>
        <v>30</v>
      </c>
      <c r="O184" s="5">
        <v>3.5</v>
      </c>
      <c r="P184" t="s">
        <v>81</v>
      </c>
      <c r="Q184" t="s">
        <v>54</v>
      </c>
      <c r="R184" s="1">
        <v>0.97</v>
      </c>
      <c r="S184" s="6">
        <f t="shared" si="82"/>
        <v>0.97</v>
      </c>
    </row>
    <row r="185" spans="1:19" ht="13.5" x14ac:dyDescent="0.25">
      <c r="A185" t="s">
        <v>621</v>
      </c>
      <c r="B185" t="s">
        <v>622</v>
      </c>
      <c r="C185" t="str">
        <f t="shared" si="84"/>
        <v>Kimberly Williams</v>
      </c>
      <c r="D185" t="s">
        <v>304</v>
      </c>
      <c r="E185" s="3" t="str">
        <f t="shared" si="58"/>
        <v>Female</v>
      </c>
      <c r="F185" s="5">
        <v>33</v>
      </c>
      <c r="G185" t="s">
        <v>33</v>
      </c>
      <c r="H185" t="s">
        <v>34</v>
      </c>
      <c r="I185" t="s">
        <v>286</v>
      </c>
      <c r="J185" s="5">
        <v>11</v>
      </c>
      <c r="K185" s="3" t="str" cm="1">
        <f t="array" ref="K185">_xlfn.IFS(J185&lt;=5, "0-5", J185&lt;=10, "6-10", J185&lt;=15, "11-15", J185&lt;=20, "16-20", J185&gt;20, "21+")</f>
        <v>11-15</v>
      </c>
      <c r="N185" s="4" t="str">
        <f t="shared" si="59"/>
        <v>NA</v>
      </c>
      <c r="O185" s="5">
        <v>0</v>
      </c>
      <c r="P185" t="s">
        <v>27</v>
      </c>
      <c r="Q185" t="s">
        <v>28</v>
      </c>
      <c r="R185" s="1">
        <v>0.65</v>
      </c>
      <c r="S185" s="6">
        <f t="shared" si="82"/>
        <v>0.65</v>
      </c>
    </row>
    <row r="186" spans="1:19" ht="13.5" x14ac:dyDescent="0.25">
      <c r="A186" t="s">
        <v>623</v>
      </c>
      <c r="B186" t="s">
        <v>624</v>
      </c>
      <c r="C186" t="str">
        <f t="shared" si="84"/>
        <v>Elizabeth Jenkins</v>
      </c>
      <c r="D186" t="s">
        <v>301</v>
      </c>
      <c r="E186" s="3" t="str">
        <f t="shared" si="58"/>
        <v>Female</v>
      </c>
      <c r="F186" s="5">
        <v>31</v>
      </c>
      <c r="G186" t="s">
        <v>38</v>
      </c>
      <c r="H186" t="s">
        <v>39</v>
      </c>
      <c r="I186" t="s">
        <v>290</v>
      </c>
      <c r="J186" s="5">
        <v>4</v>
      </c>
      <c r="K186" s="3" t="str" cm="1">
        <f t="array" ref="K186">_xlfn.IFS(J186&lt;=5, "0-5", J186&lt;=10, "6-10", J186&lt;=15, "11-15", J186&lt;=20, "16-20", J186&gt;20, "21+")</f>
        <v>0-5</v>
      </c>
      <c r="L186">
        <v>40</v>
      </c>
      <c r="M186" s="4">
        <f t="shared" ref="M186:M187" si="86">L186</f>
        <v>40</v>
      </c>
      <c r="N186" s="4">
        <f t="shared" si="59"/>
        <v>40</v>
      </c>
      <c r="O186" s="5">
        <v>3.2</v>
      </c>
      <c r="P186">
        <v>1</v>
      </c>
      <c r="Q186" t="s">
        <v>28</v>
      </c>
      <c r="R186" s="1">
        <v>0.78</v>
      </c>
      <c r="S186" s="6">
        <f t="shared" si="82"/>
        <v>0.78</v>
      </c>
    </row>
    <row r="187" spans="1:19" ht="13.5" x14ac:dyDescent="0.25">
      <c r="A187" t="s">
        <v>625</v>
      </c>
      <c r="B187" t="s">
        <v>626</v>
      </c>
      <c r="C187" t="str">
        <f t="shared" si="84"/>
        <v>Brandon Ford</v>
      </c>
      <c r="D187" t="s">
        <v>43</v>
      </c>
      <c r="E187" s="3" t="str">
        <f t="shared" si="58"/>
        <v>Male</v>
      </c>
      <c r="F187" s="5">
        <v>41</v>
      </c>
      <c r="G187" t="s">
        <v>84</v>
      </c>
      <c r="H187" t="s">
        <v>24</v>
      </c>
      <c r="I187" t="s">
        <v>284</v>
      </c>
      <c r="J187" s="5">
        <v>21</v>
      </c>
      <c r="K187" s="3" t="str" cm="1">
        <f t="array" ref="K187">_xlfn.IFS(J187&lt;=5, "0-5", J187&lt;=10, "6-10", J187&lt;=15, "11-15", J187&lt;=20, "16-20", J187&gt;20, "21+")</f>
        <v>21+</v>
      </c>
      <c r="L187">
        <v>50</v>
      </c>
      <c r="M187" s="4">
        <f t="shared" si="86"/>
        <v>50</v>
      </c>
      <c r="N187" s="4">
        <f t="shared" si="59"/>
        <v>50</v>
      </c>
      <c r="O187" s="5">
        <v>3.3</v>
      </c>
      <c r="P187" t="s">
        <v>57</v>
      </c>
      <c r="Q187" t="s">
        <v>28</v>
      </c>
      <c r="R187" s="1">
        <v>0.65</v>
      </c>
      <c r="S187" s="6">
        <f t="shared" si="82"/>
        <v>0.65</v>
      </c>
    </row>
    <row r="188" spans="1:19" ht="13.5" x14ac:dyDescent="0.25">
      <c r="A188" t="s">
        <v>627</v>
      </c>
      <c r="B188" t="s">
        <v>628</v>
      </c>
      <c r="C188" t="str">
        <f t="shared" si="84"/>
        <v>Justin House</v>
      </c>
      <c r="D188" t="s">
        <v>311</v>
      </c>
      <c r="E188" s="3" t="str">
        <f t="shared" si="58"/>
        <v>Male</v>
      </c>
      <c r="F188" s="5">
        <v>54</v>
      </c>
      <c r="G188" t="s">
        <v>67</v>
      </c>
      <c r="H188" t="s">
        <v>68</v>
      </c>
      <c r="I188" t="s">
        <v>290</v>
      </c>
      <c r="J188" s="5">
        <v>0</v>
      </c>
      <c r="K188" s="3" t="str" cm="1">
        <f t="array" ref="K188">_xlfn.IFS(J188&lt;=5, "0-5", J188&lt;=10, "6-10", J188&lt;=15, "11-15", J188&lt;=20, "16-20", J188&gt;20, "21+")</f>
        <v>0-5</v>
      </c>
      <c r="L188" s="2">
        <v>20</v>
      </c>
      <c r="M188" s="4" t="str">
        <f>SUBSTITUTE(L188, "$","")</f>
        <v>20</v>
      </c>
      <c r="N188" s="4">
        <f t="shared" si="59"/>
        <v>20</v>
      </c>
      <c r="O188" s="5">
        <v>4.9000000000000004</v>
      </c>
      <c r="S188" s="7"/>
    </row>
    <row r="189" spans="1:19" ht="13.5" x14ac:dyDescent="0.25">
      <c r="A189" t="s">
        <v>629</v>
      </c>
      <c r="B189" t="s">
        <v>630</v>
      </c>
      <c r="C189" t="str">
        <f t="shared" si="84"/>
        <v>Henry Mullen</v>
      </c>
      <c r="D189" t="s">
        <v>31</v>
      </c>
      <c r="E189" s="3" t="str">
        <f t="shared" si="58"/>
        <v>Male</v>
      </c>
      <c r="F189" s="5">
        <v>50</v>
      </c>
      <c r="G189" t="s">
        <v>44</v>
      </c>
      <c r="H189" t="s">
        <v>24</v>
      </c>
      <c r="I189" t="s">
        <v>291</v>
      </c>
      <c r="J189" s="5">
        <v>6</v>
      </c>
      <c r="K189" s="3" t="str" cm="1">
        <f t="array" ref="K189">_xlfn.IFS(J189&lt;=5, "0-5", J189&lt;=10, "6-10", J189&lt;=15, "11-15", J189&lt;=20, "16-20", J189&gt;20, "21+")</f>
        <v>6-10</v>
      </c>
      <c r="L189">
        <v>30</v>
      </c>
      <c r="M189" s="4">
        <f>L189</f>
        <v>30</v>
      </c>
      <c r="N189" s="4">
        <f t="shared" si="59"/>
        <v>30</v>
      </c>
      <c r="O189" s="5">
        <v>2.2000000000000002</v>
      </c>
      <c r="P189">
        <v>1</v>
      </c>
      <c r="Q189" t="s">
        <v>28</v>
      </c>
      <c r="R189" s="1">
        <v>0.95</v>
      </c>
      <c r="S189" s="6">
        <f t="shared" ref="S189:S190" si="87">R189</f>
        <v>0.95</v>
      </c>
    </row>
    <row r="190" spans="1:19" ht="13.5" x14ac:dyDescent="0.25">
      <c r="A190" t="s">
        <v>631</v>
      </c>
      <c r="B190" t="s">
        <v>632</v>
      </c>
      <c r="C190" t="str">
        <f t="shared" si="84"/>
        <v>Jesse Cochran</v>
      </c>
      <c r="D190" t="s">
        <v>311</v>
      </c>
      <c r="E190" s="3" t="str">
        <f t="shared" si="58"/>
        <v>Male</v>
      </c>
      <c r="F190" s="5">
        <v>48</v>
      </c>
      <c r="G190" t="s">
        <v>47</v>
      </c>
      <c r="H190" t="s">
        <v>48</v>
      </c>
      <c r="I190" t="s">
        <v>284</v>
      </c>
      <c r="J190" s="5">
        <v>18</v>
      </c>
      <c r="K190" s="3" t="str" cm="1">
        <f t="array" ref="K190">_xlfn.IFS(J190&lt;=5, "0-5", J190&lt;=10, "6-10", J190&lt;=15, "11-15", J190&lt;=20, "16-20", J190&gt;20, "21+")</f>
        <v>16-20</v>
      </c>
      <c r="L190" t="s">
        <v>99</v>
      </c>
      <c r="M190" s="4" t="str">
        <f t="shared" ref="M190" si="88">_xlfn.TEXTAFTER(L190, " ")</f>
        <v>40</v>
      </c>
      <c r="N190" s="4">
        <f t="shared" si="59"/>
        <v>40</v>
      </c>
      <c r="P190">
        <v>1</v>
      </c>
      <c r="Q190" t="s">
        <v>28</v>
      </c>
      <c r="R190" s="1">
        <v>0.88</v>
      </c>
      <c r="S190" s="6">
        <f t="shared" si="87"/>
        <v>0.88</v>
      </c>
    </row>
    <row r="191" spans="1:19" ht="13.5" x14ac:dyDescent="0.25">
      <c r="A191" t="s">
        <v>633</v>
      </c>
      <c r="B191" t="s">
        <v>634</v>
      </c>
      <c r="C191" t="str">
        <f t="shared" si="84"/>
        <v>Melissa Rich</v>
      </c>
      <c r="D191" t="s">
        <v>37</v>
      </c>
      <c r="E191" s="3" t="str">
        <f t="shared" si="58"/>
        <v>Female</v>
      </c>
      <c r="F191" s="5">
        <v>49</v>
      </c>
      <c r="G191" t="s">
        <v>44</v>
      </c>
      <c r="H191" t="s">
        <v>24</v>
      </c>
      <c r="I191" t="s">
        <v>287</v>
      </c>
      <c r="K191" s="3" t="str" cm="1">
        <f t="array" ref="K191">_xlfn.IFS(J191&lt;=5, "0-5", J191&lt;=10, "6-10", J191&lt;=15, "11-15", J191&lt;=20, "16-20", J191&gt;20, "21+")</f>
        <v>0-5</v>
      </c>
      <c r="N191" s="4" t="str">
        <f t="shared" si="59"/>
        <v>NA</v>
      </c>
      <c r="O191" s="5">
        <v>1.8</v>
      </c>
      <c r="P191">
        <v>0</v>
      </c>
      <c r="Q191" t="s">
        <v>54</v>
      </c>
      <c r="S191" s="7"/>
    </row>
    <row r="192" spans="1:19" ht="13.5" x14ac:dyDescent="0.25">
      <c r="A192" t="s">
        <v>635</v>
      </c>
      <c r="B192" t="s">
        <v>636</v>
      </c>
      <c r="C192" t="str">
        <f t="shared" si="84"/>
        <v>Patrick Dunlap</v>
      </c>
      <c r="D192" t="s">
        <v>32</v>
      </c>
      <c r="E192" s="3" t="str">
        <f t="shared" si="58"/>
        <v>Male</v>
      </c>
      <c r="F192" s="5">
        <v>21</v>
      </c>
      <c r="G192" t="s">
        <v>62</v>
      </c>
      <c r="H192" t="s">
        <v>63</v>
      </c>
      <c r="I192" t="s">
        <v>287</v>
      </c>
      <c r="J192" s="5">
        <v>1</v>
      </c>
      <c r="K192" s="3" t="str" cm="1">
        <f t="array" ref="K192">_xlfn.IFS(J192&lt;=5, "0-5", J192&lt;=10, "6-10", J192&lt;=15, "11-15", J192&lt;=20, "16-20", J192&gt;20, "21+")</f>
        <v>0-5</v>
      </c>
      <c r="L192">
        <v>75</v>
      </c>
      <c r="M192" s="4">
        <f t="shared" ref="M192:M193" si="89">L192</f>
        <v>75</v>
      </c>
      <c r="N192" s="4">
        <f t="shared" si="59"/>
        <v>75</v>
      </c>
      <c r="O192" s="5">
        <v>4.5999999999999996</v>
      </c>
      <c r="P192">
        <v>0</v>
      </c>
      <c r="Q192" t="s">
        <v>54</v>
      </c>
      <c r="R192" s="1">
        <v>0.92</v>
      </c>
      <c r="S192" s="6">
        <f t="shared" ref="S192:S197" si="90">R192</f>
        <v>0.92</v>
      </c>
    </row>
    <row r="193" spans="1:19" ht="13.5" x14ac:dyDescent="0.25">
      <c r="A193" t="s">
        <v>637</v>
      </c>
      <c r="B193" t="s">
        <v>638</v>
      </c>
      <c r="C193" t="str">
        <f t="shared" si="84"/>
        <v>Troy Carson</v>
      </c>
      <c r="D193" t="s">
        <v>328</v>
      </c>
      <c r="E193" s="3" t="str">
        <f t="shared" si="58"/>
        <v>Male</v>
      </c>
      <c r="F193" s="5">
        <v>58</v>
      </c>
      <c r="G193" t="s">
        <v>38</v>
      </c>
      <c r="H193" t="s">
        <v>39</v>
      </c>
      <c r="I193" t="s">
        <v>287</v>
      </c>
      <c r="J193" s="5">
        <v>20</v>
      </c>
      <c r="K193" s="3" t="str" cm="1">
        <f t="array" ref="K193">_xlfn.IFS(J193&lt;=5, "0-5", J193&lt;=10, "6-10", J193&lt;=15, "11-15", J193&lt;=20, "16-20", J193&gt;20, "21+")</f>
        <v>16-20</v>
      </c>
      <c r="L193">
        <v>75</v>
      </c>
      <c r="M193" s="4">
        <f t="shared" si="89"/>
        <v>75</v>
      </c>
      <c r="N193" s="4">
        <f t="shared" si="59"/>
        <v>75</v>
      </c>
      <c r="O193" s="5">
        <v>2.8</v>
      </c>
      <c r="P193" t="s">
        <v>81</v>
      </c>
      <c r="Q193" t="s">
        <v>54</v>
      </c>
      <c r="R193" s="1">
        <v>0.75</v>
      </c>
      <c r="S193" s="6">
        <f t="shared" si="90"/>
        <v>0.75</v>
      </c>
    </row>
    <row r="194" spans="1:19" ht="13.5" x14ac:dyDescent="0.25">
      <c r="A194" t="s">
        <v>639</v>
      </c>
      <c r="B194" t="s">
        <v>444</v>
      </c>
      <c r="C194" t="str">
        <f t="shared" si="84"/>
        <v>Matthew Smith</v>
      </c>
      <c r="D194" t="s">
        <v>311</v>
      </c>
      <c r="E194" s="3" t="str">
        <f t="shared" si="58"/>
        <v>Male</v>
      </c>
      <c r="F194" s="5">
        <v>41</v>
      </c>
      <c r="G194" t="s">
        <v>253</v>
      </c>
      <c r="H194" t="s">
        <v>254</v>
      </c>
      <c r="I194" t="s">
        <v>283</v>
      </c>
      <c r="K194" s="3" t="str" cm="1">
        <f t="array" ref="K194">_xlfn.IFS(J194&lt;=5, "0-5", J194&lt;=10, "6-10", J194&lt;=15, "11-15", J194&lt;=20, "16-20", J194&gt;20, "21+")</f>
        <v>0-5</v>
      </c>
      <c r="L194" s="2">
        <v>30</v>
      </c>
      <c r="M194" s="4" t="str">
        <f t="shared" ref="M194:M195" si="91">SUBSTITUTE(L194, "$","")</f>
        <v>30</v>
      </c>
      <c r="N194" s="4">
        <f t="shared" si="59"/>
        <v>30</v>
      </c>
      <c r="O194" s="5">
        <v>1.4</v>
      </c>
      <c r="P194" t="b">
        <v>0</v>
      </c>
      <c r="Q194" t="s">
        <v>54</v>
      </c>
      <c r="R194" s="1">
        <v>0.74</v>
      </c>
      <c r="S194" s="6">
        <f t="shared" si="90"/>
        <v>0.74</v>
      </c>
    </row>
    <row r="195" spans="1:19" ht="13.5" x14ac:dyDescent="0.25">
      <c r="A195" t="s">
        <v>640</v>
      </c>
      <c r="B195" t="s">
        <v>641</v>
      </c>
      <c r="C195" t="str">
        <f t="shared" si="84"/>
        <v>Jennifer Cherry</v>
      </c>
      <c r="D195" t="s">
        <v>301</v>
      </c>
      <c r="E195" s="3" t="str">
        <f t="shared" ref="E195:E258" si="92">IF(LOWER(LEFT(D195,1)) = "f", "Female", "Male")</f>
        <v>Female</v>
      </c>
      <c r="F195" s="5">
        <v>58</v>
      </c>
      <c r="G195" t="s">
        <v>95</v>
      </c>
      <c r="H195" t="s">
        <v>96</v>
      </c>
      <c r="I195" t="s">
        <v>292</v>
      </c>
      <c r="J195" s="5">
        <v>25</v>
      </c>
      <c r="K195" s="3" t="str" cm="1">
        <f t="array" ref="K195">_xlfn.IFS(J195&lt;=5, "0-5", J195&lt;=10, "6-10", J195&lt;=15, "11-15", J195&lt;=20, "16-20", J195&gt;20, "21+")</f>
        <v>21+</v>
      </c>
      <c r="L195" s="2">
        <v>30</v>
      </c>
      <c r="M195" s="4" t="str">
        <f t="shared" si="91"/>
        <v>30</v>
      </c>
      <c r="N195" s="4">
        <f t="shared" ref="N195:N258" si="93">IF(M195="","NA",ROUND(M195,0))</f>
        <v>30</v>
      </c>
      <c r="O195" s="5">
        <v>4.2</v>
      </c>
      <c r="P195" t="s">
        <v>57</v>
      </c>
      <c r="Q195" t="s">
        <v>28</v>
      </c>
      <c r="R195" s="1">
        <v>0.71</v>
      </c>
      <c r="S195" s="6">
        <f t="shared" si="90"/>
        <v>0.71</v>
      </c>
    </row>
    <row r="196" spans="1:19" ht="13.5" x14ac:dyDescent="0.25">
      <c r="A196" t="s">
        <v>642</v>
      </c>
      <c r="B196" t="s">
        <v>643</v>
      </c>
      <c r="C196" t="str">
        <f t="shared" si="84"/>
        <v>Brandi Tucker</v>
      </c>
      <c r="D196" t="s">
        <v>304</v>
      </c>
      <c r="E196" s="3" t="str">
        <f t="shared" si="92"/>
        <v>Female</v>
      </c>
      <c r="F196" s="5">
        <v>50</v>
      </c>
      <c r="G196" t="s">
        <v>177</v>
      </c>
      <c r="H196" t="s">
        <v>178</v>
      </c>
      <c r="I196" t="s">
        <v>287</v>
      </c>
      <c r="J196" s="5">
        <v>20</v>
      </c>
      <c r="K196" s="3" t="str" cm="1">
        <f t="array" ref="K196">_xlfn.IFS(J196&lt;=5, "0-5", J196&lt;=10, "6-10", J196&lt;=15, "11-15", J196&lt;=20, "16-20", J196&gt;20, "21+")</f>
        <v>16-20</v>
      </c>
      <c r="L196" t="s">
        <v>99</v>
      </c>
      <c r="M196" s="4" t="str">
        <f t="shared" ref="M196" si="94">_xlfn.TEXTAFTER(L196, " ")</f>
        <v>40</v>
      </c>
      <c r="N196" s="4">
        <f t="shared" si="93"/>
        <v>40</v>
      </c>
      <c r="O196" s="5">
        <v>3.6</v>
      </c>
      <c r="P196">
        <v>1</v>
      </c>
      <c r="Q196" t="s">
        <v>28</v>
      </c>
      <c r="R196" s="1">
        <v>0.89</v>
      </c>
      <c r="S196" s="6">
        <f t="shared" si="90"/>
        <v>0.89</v>
      </c>
    </row>
    <row r="197" spans="1:19" ht="13.5" x14ac:dyDescent="0.25">
      <c r="A197" t="s">
        <v>644</v>
      </c>
      <c r="B197" t="s">
        <v>645</v>
      </c>
      <c r="C197" t="str">
        <f t="shared" si="84"/>
        <v>Zachary Burke</v>
      </c>
      <c r="D197" t="s">
        <v>43</v>
      </c>
      <c r="E197" s="3" t="str">
        <f t="shared" si="92"/>
        <v>Male</v>
      </c>
      <c r="F197" s="5">
        <v>52</v>
      </c>
      <c r="G197" t="s">
        <v>104</v>
      </c>
      <c r="H197" t="s">
        <v>105</v>
      </c>
      <c r="I197" t="s">
        <v>290</v>
      </c>
      <c r="J197" s="5">
        <v>33</v>
      </c>
      <c r="K197" s="3" t="str" cm="1">
        <f t="array" ref="K197">_xlfn.IFS(J197&lt;=5, "0-5", J197&lt;=10, "6-10", J197&lt;=15, "11-15", J197&lt;=20, "16-20", J197&gt;20, "21+")</f>
        <v>21+</v>
      </c>
      <c r="L197" s="2">
        <v>100</v>
      </c>
      <c r="M197" s="4" t="str">
        <f t="shared" ref="M197:M198" si="95">SUBSTITUTE(L197, "$","")</f>
        <v>100</v>
      </c>
      <c r="N197" s="4">
        <f t="shared" si="93"/>
        <v>100</v>
      </c>
      <c r="O197" s="5">
        <v>1.6</v>
      </c>
      <c r="R197" s="1">
        <v>0.66</v>
      </c>
      <c r="S197" s="6">
        <f t="shared" si="90"/>
        <v>0.66</v>
      </c>
    </row>
    <row r="198" spans="1:19" ht="13.5" x14ac:dyDescent="0.25">
      <c r="A198" t="s">
        <v>646</v>
      </c>
      <c r="B198" t="s">
        <v>647</v>
      </c>
      <c r="C198" t="str">
        <f t="shared" si="84"/>
        <v>Thomas Jones</v>
      </c>
      <c r="D198" t="s">
        <v>43</v>
      </c>
      <c r="E198" s="3" t="str">
        <f t="shared" si="92"/>
        <v>Male</v>
      </c>
      <c r="F198" s="5">
        <v>34</v>
      </c>
      <c r="G198" t="s">
        <v>52</v>
      </c>
      <c r="H198" t="s">
        <v>53</v>
      </c>
      <c r="I198" t="s">
        <v>291</v>
      </c>
      <c r="J198" s="5">
        <v>6</v>
      </c>
      <c r="K198" s="3" t="str" cm="1">
        <f t="array" ref="K198">_xlfn.IFS(J198&lt;=5, "0-5", J198&lt;=10, "6-10", J198&lt;=15, "11-15", J198&lt;=20, "16-20", J198&gt;20, "21+")</f>
        <v>6-10</v>
      </c>
      <c r="L198" s="2">
        <v>100</v>
      </c>
      <c r="M198" s="4" t="str">
        <f t="shared" si="95"/>
        <v>100</v>
      </c>
      <c r="N198" s="4">
        <f t="shared" si="93"/>
        <v>100</v>
      </c>
      <c r="O198" s="5">
        <v>2</v>
      </c>
      <c r="P198" t="s">
        <v>81</v>
      </c>
      <c r="Q198" t="s">
        <v>54</v>
      </c>
      <c r="S198" s="7"/>
    </row>
    <row r="199" spans="1:19" ht="13.5" x14ac:dyDescent="0.25">
      <c r="A199" t="s">
        <v>648</v>
      </c>
      <c r="B199" t="s">
        <v>649</v>
      </c>
      <c r="C199" t="str">
        <f t="shared" si="84"/>
        <v>Brian Dunn</v>
      </c>
      <c r="D199" t="s">
        <v>32</v>
      </c>
      <c r="E199" s="3" t="str">
        <f t="shared" si="92"/>
        <v>Male</v>
      </c>
      <c r="F199" s="5">
        <v>32</v>
      </c>
      <c r="G199" t="s">
        <v>132</v>
      </c>
      <c r="H199" t="s">
        <v>133</v>
      </c>
      <c r="I199" t="s">
        <v>284</v>
      </c>
      <c r="J199" s="5">
        <v>11</v>
      </c>
      <c r="K199" s="3" t="str" cm="1">
        <f t="array" ref="K199">_xlfn.IFS(J199&lt;=5, "0-5", J199&lt;=10, "6-10", J199&lt;=15, "11-15", J199&lt;=20, "16-20", J199&gt;20, "21+")</f>
        <v>11-15</v>
      </c>
      <c r="L199">
        <v>40</v>
      </c>
      <c r="M199" s="4">
        <f>L199</f>
        <v>40</v>
      </c>
      <c r="N199" s="4">
        <f t="shared" si="93"/>
        <v>40</v>
      </c>
      <c r="O199" s="5">
        <v>4.3</v>
      </c>
      <c r="P199" t="b">
        <v>1</v>
      </c>
      <c r="Q199" t="s">
        <v>28</v>
      </c>
      <c r="R199" s="1">
        <v>0.86</v>
      </c>
      <c r="S199" s="6">
        <f t="shared" ref="S199:S201" si="96">R199</f>
        <v>0.86</v>
      </c>
    </row>
    <row r="200" spans="1:19" ht="13.5" x14ac:dyDescent="0.25">
      <c r="A200" t="s">
        <v>650</v>
      </c>
      <c r="B200" t="s">
        <v>651</v>
      </c>
      <c r="C200" t="str">
        <f t="shared" si="84"/>
        <v>Shirley Strickland</v>
      </c>
      <c r="D200" t="s">
        <v>301</v>
      </c>
      <c r="E200" s="3" t="str">
        <f t="shared" si="92"/>
        <v>Female</v>
      </c>
      <c r="F200" s="5">
        <v>50</v>
      </c>
      <c r="G200" t="s">
        <v>146</v>
      </c>
      <c r="H200" t="s">
        <v>147</v>
      </c>
      <c r="I200" t="s">
        <v>287</v>
      </c>
      <c r="J200" s="5">
        <v>28</v>
      </c>
      <c r="K200" s="3" t="str" cm="1">
        <f t="array" ref="K200">_xlfn.IFS(J200&lt;=5, "0-5", J200&lt;=10, "6-10", J200&lt;=15, "11-15", J200&lt;=20, "16-20", J200&gt;20, "21+")</f>
        <v>21+</v>
      </c>
      <c r="L200" s="2">
        <v>100</v>
      </c>
      <c r="M200" s="4" t="str">
        <f>SUBSTITUTE(L200, "$","")</f>
        <v>100</v>
      </c>
      <c r="N200" s="4">
        <f t="shared" si="93"/>
        <v>100</v>
      </c>
      <c r="O200" s="5">
        <v>4.9000000000000004</v>
      </c>
      <c r="P200" t="s">
        <v>57</v>
      </c>
      <c r="Q200" t="s">
        <v>28</v>
      </c>
      <c r="R200" s="1">
        <v>0.86</v>
      </c>
      <c r="S200" s="6">
        <f t="shared" si="96"/>
        <v>0.86</v>
      </c>
    </row>
    <row r="201" spans="1:19" ht="13.5" x14ac:dyDescent="0.25">
      <c r="A201" t="s">
        <v>652</v>
      </c>
      <c r="B201" t="s">
        <v>653</v>
      </c>
      <c r="C201" t="str">
        <f t="shared" si="84"/>
        <v>Nicole Meyers</v>
      </c>
      <c r="D201" t="s">
        <v>304</v>
      </c>
      <c r="E201" s="3" t="str">
        <f t="shared" si="92"/>
        <v>Female</v>
      </c>
      <c r="F201" s="5">
        <v>39</v>
      </c>
      <c r="G201" t="s">
        <v>23</v>
      </c>
      <c r="H201" t="s">
        <v>24</v>
      </c>
      <c r="I201" t="s">
        <v>291</v>
      </c>
      <c r="J201" s="5">
        <v>11</v>
      </c>
      <c r="K201" s="3" t="str" cm="1">
        <f t="array" ref="K201">_xlfn.IFS(J201&lt;=5, "0-5", J201&lt;=10, "6-10", J201&lt;=15, "11-15", J201&lt;=20, "16-20", J201&gt;20, "21+")</f>
        <v>11-15</v>
      </c>
      <c r="L201">
        <v>100</v>
      </c>
      <c r="M201" s="4">
        <f t="shared" ref="M201:M203" si="97">L201</f>
        <v>100</v>
      </c>
      <c r="N201" s="4">
        <f t="shared" si="93"/>
        <v>100</v>
      </c>
      <c r="O201" s="5">
        <v>3.5</v>
      </c>
      <c r="P201" t="s">
        <v>57</v>
      </c>
      <c r="Q201" t="s">
        <v>28</v>
      </c>
      <c r="R201" s="1">
        <v>0.82</v>
      </c>
      <c r="S201" s="6">
        <f t="shared" si="96"/>
        <v>0.82</v>
      </c>
    </row>
    <row r="202" spans="1:19" ht="13.5" x14ac:dyDescent="0.25">
      <c r="A202" t="s">
        <v>269</v>
      </c>
      <c r="B202" t="s">
        <v>270</v>
      </c>
      <c r="C202" t="str">
        <f t="shared" si="84"/>
        <v>Jill Stephens</v>
      </c>
      <c r="D202" t="s">
        <v>37</v>
      </c>
      <c r="E202" s="3" t="str">
        <f t="shared" si="92"/>
        <v>Female</v>
      </c>
      <c r="F202" s="5">
        <v>25</v>
      </c>
      <c r="G202" t="s">
        <v>84</v>
      </c>
      <c r="H202" t="s">
        <v>24</v>
      </c>
      <c r="I202" t="s">
        <v>25</v>
      </c>
      <c r="J202" s="5">
        <v>2</v>
      </c>
      <c r="K202" s="3" t="str" cm="1">
        <f t="array" ref="K202">_xlfn.IFS(J202&lt;=5, "0-5", J202&lt;=10, "6-10", J202&lt;=15, "11-15", J202&lt;=20, "16-20", J202&gt;20, "21+")</f>
        <v>0-5</v>
      </c>
      <c r="L202">
        <v>100</v>
      </c>
      <c r="M202" s="4">
        <f t="shared" si="97"/>
        <v>100</v>
      </c>
      <c r="N202" s="4">
        <f t="shared" si="93"/>
        <v>100</v>
      </c>
      <c r="O202" s="5">
        <v>2.5</v>
      </c>
      <c r="P202" t="s">
        <v>81</v>
      </c>
      <c r="Q202" t="s">
        <v>54</v>
      </c>
      <c r="R202">
        <v>87</v>
      </c>
      <c r="S202" s="6">
        <f>R202/100</f>
        <v>0.87</v>
      </c>
    </row>
    <row r="203" spans="1:19" ht="13.5" x14ac:dyDescent="0.25">
      <c r="A203" t="s">
        <v>654</v>
      </c>
      <c r="B203" t="s">
        <v>655</v>
      </c>
      <c r="C203" t="str">
        <f t="shared" si="84"/>
        <v>Heidi Miranda</v>
      </c>
      <c r="D203" t="s">
        <v>21</v>
      </c>
      <c r="E203" s="3" t="str">
        <f t="shared" si="92"/>
        <v>Female</v>
      </c>
      <c r="F203" s="5">
        <v>55</v>
      </c>
      <c r="G203" t="s">
        <v>165</v>
      </c>
      <c r="H203" t="s">
        <v>166</v>
      </c>
      <c r="I203" t="s">
        <v>284</v>
      </c>
      <c r="J203" s="5">
        <v>7</v>
      </c>
      <c r="K203" s="3" t="str" cm="1">
        <f t="array" ref="K203">_xlfn.IFS(J203&lt;=5, "0-5", J203&lt;=10, "6-10", J203&lt;=15, "11-15", J203&lt;=20, "16-20", J203&gt;20, "21+")</f>
        <v>6-10</v>
      </c>
      <c r="L203">
        <v>100</v>
      </c>
      <c r="M203" s="4">
        <f t="shared" si="97"/>
        <v>100</v>
      </c>
      <c r="N203" s="4">
        <f t="shared" si="93"/>
        <v>100</v>
      </c>
      <c r="O203" s="5">
        <v>1.7</v>
      </c>
      <c r="P203">
        <v>1</v>
      </c>
      <c r="Q203" t="s">
        <v>28</v>
      </c>
      <c r="R203" s="1">
        <v>0.8</v>
      </c>
      <c r="S203" s="6">
        <f t="shared" ref="S203:S205" si="98">R203</f>
        <v>0.8</v>
      </c>
    </row>
    <row r="204" spans="1:19" ht="13.5" x14ac:dyDescent="0.25">
      <c r="A204" t="s">
        <v>656</v>
      </c>
      <c r="B204" t="s">
        <v>657</v>
      </c>
      <c r="C204" t="str">
        <f t="shared" si="84"/>
        <v>Jesus Martinez</v>
      </c>
      <c r="D204" t="s">
        <v>43</v>
      </c>
      <c r="E204" s="3" t="str">
        <f t="shared" si="92"/>
        <v>Male</v>
      </c>
      <c r="F204" s="5">
        <v>42</v>
      </c>
      <c r="G204" t="s">
        <v>253</v>
      </c>
      <c r="H204" t="s">
        <v>254</v>
      </c>
      <c r="I204" t="s">
        <v>283</v>
      </c>
      <c r="J204" s="5">
        <v>10</v>
      </c>
      <c r="K204" s="3" t="str" cm="1">
        <f t="array" ref="K204">_xlfn.IFS(J204&lt;=5, "0-5", J204&lt;=10, "6-10", J204&lt;=15, "11-15", J204&lt;=20, "16-20", J204&gt;20, "21+")</f>
        <v>6-10</v>
      </c>
      <c r="L204" t="s">
        <v>40</v>
      </c>
      <c r="M204" s="4" t="str">
        <f t="shared" ref="M204" si="99">_xlfn.TEXTAFTER(L204, " ")</f>
        <v>100</v>
      </c>
      <c r="N204" s="4">
        <f t="shared" si="93"/>
        <v>100</v>
      </c>
      <c r="O204" s="5">
        <v>4.5999999999999996</v>
      </c>
      <c r="P204" t="s">
        <v>57</v>
      </c>
      <c r="Q204" t="s">
        <v>28</v>
      </c>
      <c r="R204" s="1">
        <v>0.71</v>
      </c>
      <c r="S204" s="6">
        <f t="shared" si="98"/>
        <v>0.71</v>
      </c>
    </row>
    <row r="205" spans="1:19" ht="13.5" x14ac:dyDescent="0.25">
      <c r="A205" t="s">
        <v>658</v>
      </c>
      <c r="B205" t="s">
        <v>659</v>
      </c>
      <c r="C205" t="str">
        <f t="shared" si="84"/>
        <v>Adam Payne</v>
      </c>
      <c r="D205" t="s">
        <v>31</v>
      </c>
      <c r="E205" s="3" t="str">
        <f t="shared" si="92"/>
        <v>Male</v>
      </c>
      <c r="F205" s="5">
        <v>43</v>
      </c>
      <c r="G205" t="s">
        <v>95</v>
      </c>
      <c r="H205" t="s">
        <v>96</v>
      </c>
      <c r="I205" t="s">
        <v>285</v>
      </c>
      <c r="J205" s="5">
        <v>6</v>
      </c>
      <c r="K205" s="3" t="str" cm="1">
        <f t="array" ref="K205">_xlfn.IFS(J205&lt;=5, "0-5", J205&lt;=10, "6-10", J205&lt;=15, "11-15", J205&lt;=20, "16-20", J205&gt;20, "21+")</f>
        <v>6-10</v>
      </c>
      <c r="L205">
        <v>50</v>
      </c>
      <c r="M205" s="4">
        <f>L205</f>
        <v>50</v>
      </c>
      <c r="N205" s="4">
        <f t="shared" si="93"/>
        <v>50</v>
      </c>
      <c r="P205" t="s">
        <v>64</v>
      </c>
      <c r="Q205" t="s">
        <v>54</v>
      </c>
      <c r="R205" s="1">
        <v>0.77</v>
      </c>
      <c r="S205" s="6">
        <f t="shared" si="98"/>
        <v>0.77</v>
      </c>
    </row>
    <row r="206" spans="1:19" ht="13.5" x14ac:dyDescent="0.25">
      <c r="A206" t="s">
        <v>660</v>
      </c>
      <c r="B206" t="s">
        <v>661</v>
      </c>
      <c r="C206" t="str">
        <f t="shared" si="84"/>
        <v>Walter Williams</v>
      </c>
      <c r="D206" t="s">
        <v>43</v>
      </c>
      <c r="E206" s="3" t="str">
        <f t="shared" si="92"/>
        <v>Male</v>
      </c>
      <c r="F206" s="5">
        <v>54</v>
      </c>
      <c r="G206" t="s">
        <v>253</v>
      </c>
      <c r="H206" t="s">
        <v>254</v>
      </c>
      <c r="I206" t="s">
        <v>283</v>
      </c>
      <c r="J206" s="5">
        <v>29</v>
      </c>
      <c r="K206" s="3" t="str" cm="1">
        <f t="array" ref="K206">_xlfn.IFS(J206&lt;=5, "0-5", J206&lt;=10, "6-10", J206&lt;=15, "11-15", J206&lt;=20, "16-20", J206&gt;20, "21+")</f>
        <v>21+</v>
      </c>
      <c r="L206" s="2">
        <v>30</v>
      </c>
      <c r="M206" s="4" t="str">
        <f>SUBSTITUTE(L206, "$","")</f>
        <v>30</v>
      </c>
      <c r="N206" s="4">
        <f t="shared" si="93"/>
        <v>30</v>
      </c>
      <c r="O206" s="5">
        <v>1.7</v>
      </c>
      <c r="P206">
        <v>0</v>
      </c>
      <c r="Q206" t="s">
        <v>54</v>
      </c>
      <c r="R206">
        <v>68</v>
      </c>
      <c r="S206" s="6">
        <f>R206/100</f>
        <v>0.68</v>
      </c>
    </row>
    <row r="207" spans="1:19" ht="13.5" x14ac:dyDescent="0.25">
      <c r="A207" t="s">
        <v>662</v>
      </c>
      <c r="B207" t="s">
        <v>663</v>
      </c>
      <c r="C207" t="str">
        <f t="shared" si="84"/>
        <v>Shannon Farmer</v>
      </c>
      <c r="D207" t="s">
        <v>21</v>
      </c>
      <c r="E207" s="3" t="str">
        <f t="shared" si="92"/>
        <v>Female</v>
      </c>
      <c r="F207" s="5">
        <v>21</v>
      </c>
      <c r="G207" t="s">
        <v>117</v>
      </c>
      <c r="H207" t="s">
        <v>118</v>
      </c>
      <c r="I207" t="s">
        <v>287</v>
      </c>
      <c r="J207" s="5">
        <v>0</v>
      </c>
      <c r="K207" s="3" t="str" cm="1">
        <f t="array" ref="K207">_xlfn.IFS(J207&lt;=5, "0-5", J207&lt;=10, "6-10", J207&lt;=15, "11-15", J207&lt;=20, "16-20", J207&gt;20, "21+")</f>
        <v>0-5</v>
      </c>
      <c r="L207">
        <v>20</v>
      </c>
      <c r="M207" s="4">
        <f t="shared" ref="M207:M209" si="100">L207</f>
        <v>20</v>
      </c>
      <c r="N207" s="4">
        <f t="shared" si="93"/>
        <v>20</v>
      </c>
      <c r="O207" s="5">
        <v>1.8</v>
      </c>
      <c r="P207" t="s">
        <v>64</v>
      </c>
      <c r="Q207" t="s">
        <v>54</v>
      </c>
      <c r="R207" s="1">
        <v>0.91</v>
      </c>
      <c r="S207" s="6">
        <f t="shared" ref="S207:S209" si="101">R207</f>
        <v>0.91</v>
      </c>
    </row>
    <row r="208" spans="1:19" ht="13.5" x14ac:dyDescent="0.25">
      <c r="A208" t="s">
        <v>664</v>
      </c>
      <c r="B208" t="s">
        <v>665</v>
      </c>
      <c r="C208" t="str">
        <f t="shared" si="84"/>
        <v>Peter Reyes</v>
      </c>
      <c r="D208" t="s">
        <v>43</v>
      </c>
      <c r="E208" s="3" t="str">
        <f t="shared" si="92"/>
        <v>Male</v>
      </c>
      <c r="F208" s="5">
        <v>46</v>
      </c>
      <c r="G208" t="s">
        <v>125</v>
      </c>
      <c r="H208" t="s">
        <v>39</v>
      </c>
      <c r="I208" t="s">
        <v>286</v>
      </c>
      <c r="J208" s="5">
        <v>5</v>
      </c>
      <c r="K208" s="3" t="str" cm="1">
        <f t="array" ref="K208">_xlfn.IFS(J208&lt;=5, "0-5", J208&lt;=10, "6-10", J208&lt;=15, "11-15", J208&lt;=20, "16-20", J208&gt;20, "21+")</f>
        <v>0-5</v>
      </c>
      <c r="L208">
        <v>20</v>
      </c>
      <c r="M208" s="4">
        <f t="shared" si="100"/>
        <v>20</v>
      </c>
      <c r="N208" s="4">
        <f t="shared" si="93"/>
        <v>20</v>
      </c>
      <c r="O208" s="5">
        <v>2.2000000000000002</v>
      </c>
      <c r="P208" t="b">
        <v>0</v>
      </c>
      <c r="Q208" t="s">
        <v>54</v>
      </c>
      <c r="R208" s="1">
        <v>0.75</v>
      </c>
      <c r="S208" s="6">
        <f t="shared" si="101"/>
        <v>0.75</v>
      </c>
    </row>
    <row r="209" spans="1:19" ht="13.5" x14ac:dyDescent="0.25">
      <c r="A209" t="s">
        <v>666</v>
      </c>
      <c r="B209" t="s">
        <v>667</v>
      </c>
      <c r="C209" t="str">
        <f t="shared" si="84"/>
        <v>Kristen Knight</v>
      </c>
      <c r="D209" t="s">
        <v>37</v>
      </c>
      <c r="E209" s="3" t="str">
        <f t="shared" si="92"/>
        <v>Female</v>
      </c>
      <c r="F209" s="5">
        <v>30</v>
      </c>
      <c r="G209" t="s">
        <v>84</v>
      </c>
      <c r="H209" t="s">
        <v>24</v>
      </c>
      <c r="I209" t="s">
        <v>292</v>
      </c>
      <c r="J209" s="5">
        <v>11</v>
      </c>
      <c r="K209" s="3" t="str" cm="1">
        <f t="array" ref="K209">_xlfn.IFS(J209&lt;=5, "0-5", J209&lt;=10, "6-10", J209&lt;=15, "11-15", J209&lt;=20, "16-20", J209&gt;20, "21+")</f>
        <v>11-15</v>
      </c>
      <c r="L209">
        <v>40</v>
      </c>
      <c r="M209" s="4">
        <f t="shared" si="100"/>
        <v>40</v>
      </c>
      <c r="N209" s="4">
        <f t="shared" si="93"/>
        <v>40</v>
      </c>
      <c r="O209" s="5">
        <v>1</v>
      </c>
      <c r="P209" t="s">
        <v>64</v>
      </c>
      <c r="Q209" t="s">
        <v>54</v>
      </c>
      <c r="R209" s="1">
        <v>0.9</v>
      </c>
      <c r="S209" s="6">
        <f t="shared" si="101"/>
        <v>0.9</v>
      </c>
    </row>
    <row r="210" spans="1:19" ht="13.5" x14ac:dyDescent="0.25">
      <c r="A210" t="s">
        <v>668</v>
      </c>
      <c r="B210" t="s">
        <v>669</v>
      </c>
      <c r="C210" t="str">
        <f t="shared" si="84"/>
        <v>William Moore Jr.</v>
      </c>
      <c r="D210" t="s">
        <v>31</v>
      </c>
      <c r="E210" s="3" t="str">
        <f t="shared" si="92"/>
        <v>Male</v>
      </c>
      <c r="F210" s="5">
        <v>36</v>
      </c>
      <c r="G210" t="s">
        <v>165</v>
      </c>
      <c r="H210" t="s">
        <v>166</v>
      </c>
      <c r="I210" t="s">
        <v>284</v>
      </c>
      <c r="J210" s="5">
        <v>11</v>
      </c>
      <c r="K210" s="3" t="str" cm="1">
        <f t="array" ref="K210">_xlfn.IFS(J210&lt;=5, "0-5", J210&lt;=10, "6-10", J210&lt;=15, "11-15", J210&lt;=20, "16-20", J210&gt;20, "21+")</f>
        <v>11-15</v>
      </c>
      <c r="L210" s="2">
        <v>75</v>
      </c>
      <c r="M210" s="4" t="str">
        <f>SUBSTITUTE(L210, "$","")</f>
        <v>75</v>
      </c>
      <c r="N210" s="4">
        <f t="shared" si="93"/>
        <v>75</v>
      </c>
      <c r="O210" s="5">
        <v>3.2</v>
      </c>
      <c r="P210">
        <v>0</v>
      </c>
      <c r="Q210" t="s">
        <v>54</v>
      </c>
      <c r="R210">
        <v>93</v>
      </c>
      <c r="S210" s="6">
        <f>R210/100</f>
        <v>0.93</v>
      </c>
    </row>
    <row r="211" spans="1:19" ht="13.5" x14ac:dyDescent="0.25">
      <c r="A211" t="s">
        <v>670</v>
      </c>
      <c r="B211" t="s">
        <v>671</v>
      </c>
      <c r="C211" t="str">
        <f t="shared" si="84"/>
        <v>Jennifer Rowe</v>
      </c>
      <c r="D211" t="s">
        <v>22</v>
      </c>
      <c r="E211" s="3" t="str">
        <f t="shared" si="92"/>
        <v>Female</v>
      </c>
      <c r="F211" s="5">
        <v>47</v>
      </c>
      <c r="G211" t="s">
        <v>33</v>
      </c>
      <c r="H211" t="s">
        <v>34</v>
      </c>
      <c r="I211" t="s">
        <v>291</v>
      </c>
      <c r="J211" s="5">
        <v>15</v>
      </c>
      <c r="K211" s="3" t="str" cm="1">
        <f t="array" ref="K211">_xlfn.IFS(J211&lt;=5, "0-5", J211&lt;=10, "6-10", J211&lt;=15, "11-15", J211&lt;=20, "16-20", J211&gt;20, "21+")</f>
        <v>11-15</v>
      </c>
      <c r="L211">
        <v>40</v>
      </c>
      <c r="M211" s="4">
        <f>L211</f>
        <v>40</v>
      </c>
      <c r="N211" s="4">
        <f t="shared" si="93"/>
        <v>40</v>
      </c>
      <c r="O211" s="5">
        <v>2.1</v>
      </c>
      <c r="P211" t="s">
        <v>27</v>
      </c>
      <c r="Q211" t="s">
        <v>28</v>
      </c>
      <c r="R211" s="1">
        <v>0.94</v>
      </c>
      <c r="S211" s="6">
        <f>R211</f>
        <v>0.94</v>
      </c>
    </row>
    <row r="212" spans="1:19" ht="13.5" x14ac:dyDescent="0.25">
      <c r="A212" t="s">
        <v>672</v>
      </c>
      <c r="B212" t="s">
        <v>673</v>
      </c>
      <c r="C212" t="str">
        <f t="shared" si="84"/>
        <v>Mikayla Henry</v>
      </c>
      <c r="D212" t="s">
        <v>301</v>
      </c>
      <c r="E212" s="3" t="str">
        <f t="shared" si="92"/>
        <v>Female</v>
      </c>
      <c r="F212" s="5">
        <v>43</v>
      </c>
      <c r="G212" t="s">
        <v>125</v>
      </c>
      <c r="H212" t="s">
        <v>39</v>
      </c>
      <c r="I212" t="s">
        <v>285</v>
      </c>
      <c r="J212" s="5">
        <v>1</v>
      </c>
      <c r="K212" s="3" t="str" cm="1">
        <f t="array" ref="K212">_xlfn.IFS(J212&lt;=5, "0-5", J212&lt;=10, "6-10", J212&lt;=15, "11-15", J212&lt;=20, "16-20", J212&gt;20, "21+")</f>
        <v>0-5</v>
      </c>
      <c r="L212" t="s">
        <v>112</v>
      </c>
      <c r="M212" s="4" t="str">
        <f t="shared" ref="M212" si="102">_xlfn.TEXTAFTER(L212, " ")</f>
        <v>50</v>
      </c>
      <c r="N212" s="4">
        <f t="shared" si="93"/>
        <v>50</v>
      </c>
      <c r="O212" s="5">
        <v>4.5999999999999996</v>
      </c>
      <c r="P212" t="b">
        <v>1</v>
      </c>
      <c r="Q212" t="s">
        <v>28</v>
      </c>
      <c r="R212">
        <v>64</v>
      </c>
      <c r="S212" s="6">
        <f>R212/100</f>
        <v>0.64</v>
      </c>
    </row>
    <row r="213" spans="1:19" ht="13.5" x14ac:dyDescent="0.25">
      <c r="A213" t="s">
        <v>674</v>
      </c>
      <c r="B213" t="s">
        <v>675</v>
      </c>
      <c r="C213" t="str">
        <f t="shared" si="84"/>
        <v>Jacob Kerr</v>
      </c>
      <c r="D213" t="s">
        <v>43</v>
      </c>
      <c r="E213" s="3" t="str">
        <f t="shared" si="92"/>
        <v>Male</v>
      </c>
      <c r="F213" s="5">
        <v>57</v>
      </c>
      <c r="G213" t="s">
        <v>62</v>
      </c>
      <c r="H213" t="s">
        <v>63</v>
      </c>
      <c r="I213" t="s">
        <v>288</v>
      </c>
      <c r="J213" s="5">
        <v>8</v>
      </c>
      <c r="K213" s="3" t="str" cm="1">
        <f t="array" ref="K213">_xlfn.IFS(J213&lt;=5, "0-5", J213&lt;=10, "6-10", J213&lt;=15, "11-15", J213&lt;=20, "16-20", J213&gt;20, "21+")</f>
        <v>6-10</v>
      </c>
      <c r="L213" s="2">
        <v>20</v>
      </c>
      <c r="M213" s="4" t="str">
        <f t="shared" ref="M213:M215" si="103">SUBSTITUTE(L213, "$","")</f>
        <v>20</v>
      </c>
      <c r="N213" s="4">
        <f t="shared" si="93"/>
        <v>20</v>
      </c>
      <c r="O213" s="5">
        <v>0</v>
      </c>
      <c r="P213" t="s">
        <v>27</v>
      </c>
      <c r="Q213" t="s">
        <v>28</v>
      </c>
      <c r="R213" s="1">
        <v>0.84</v>
      </c>
      <c r="S213" s="6">
        <f t="shared" ref="S213:S220" si="104">R213</f>
        <v>0.84</v>
      </c>
    </row>
    <row r="214" spans="1:19" ht="13.5" x14ac:dyDescent="0.25">
      <c r="A214" t="s">
        <v>676</v>
      </c>
      <c r="B214" t="s">
        <v>677</v>
      </c>
      <c r="C214" t="str">
        <f t="shared" si="84"/>
        <v>Ryan Johnson</v>
      </c>
      <c r="D214" t="s">
        <v>31</v>
      </c>
      <c r="E214" s="3" t="str">
        <f t="shared" si="92"/>
        <v>Male</v>
      </c>
      <c r="F214" s="5">
        <v>52</v>
      </c>
      <c r="G214" t="s">
        <v>253</v>
      </c>
      <c r="H214" t="s">
        <v>254</v>
      </c>
      <c r="I214" t="s">
        <v>284</v>
      </c>
      <c r="J214" s="5">
        <v>30</v>
      </c>
      <c r="K214" s="3" t="str" cm="1">
        <f t="array" ref="K214">_xlfn.IFS(J214&lt;=5, "0-5", J214&lt;=10, "6-10", J214&lt;=15, "11-15", J214&lt;=20, "16-20", J214&gt;20, "21+")</f>
        <v>21+</v>
      </c>
      <c r="L214" s="2">
        <v>20</v>
      </c>
      <c r="M214" s="4" t="str">
        <f t="shared" si="103"/>
        <v>20</v>
      </c>
      <c r="N214" s="4">
        <f t="shared" si="93"/>
        <v>20</v>
      </c>
      <c r="O214" s="5">
        <v>2.8</v>
      </c>
      <c r="P214" t="s">
        <v>81</v>
      </c>
      <c r="Q214" t="s">
        <v>54</v>
      </c>
      <c r="R214" s="1">
        <v>0.87</v>
      </c>
      <c r="S214" s="6">
        <f t="shared" si="104"/>
        <v>0.87</v>
      </c>
    </row>
    <row r="215" spans="1:19" ht="13.5" x14ac:dyDescent="0.25">
      <c r="A215" t="s">
        <v>678</v>
      </c>
      <c r="B215" t="s">
        <v>679</v>
      </c>
      <c r="C215" t="str">
        <f t="shared" si="84"/>
        <v>Michael Ruiz</v>
      </c>
      <c r="D215" t="s">
        <v>311</v>
      </c>
      <c r="E215" s="3" t="str">
        <f t="shared" si="92"/>
        <v>Male</v>
      </c>
      <c r="G215" t="s">
        <v>33</v>
      </c>
      <c r="H215" t="s">
        <v>34</v>
      </c>
      <c r="I215" t="s">
        <v>292</v>
      </c>
      <c r="J215" s="5">
        <v>8</v>
      </c>
      <c r="K215" s="3" t="str" cm="1">
        <f t="array" ref="K215">_xlfn.IFS(J215&lt;=5, "0-5", J215&lt;=10, "6-10", J215&lt;=15, "11-15", J215&lt;=20, "16-20", J215&gt;20, "21+")</f>
        <v>6-10</v>
      </c>
      <c r="L215" s="2">
        <v>40</v>
      </c>
      <c r="M215" s="4" t="str">
        <f t="shared" si="103"/>
        <v>40</v>
      </c>
      <c r="N215" s="4">
        <f t="shared" si="93"/>
        <v>40</v>
      </c>
      <c r="O215" s="5">
        <v>0</v>
      </c>
      <c r="P215" t="s">
        <v>64</v>
      </c>
      <c r="Q215" t="s">
        <v>54</v>
      </c>
      <c r="R215" s="1">
        <v>0.64</v>
      </c>
      <c r="S215" s="6">
        <f t="shared" si="104"/>
        <v>0.64</v>
      </c>
    </row>
    <row r="216" spans="1:19" ht="13.5" x14ac:dyDescent="0.25">
      <c r="A216" t="s">
        <v>680</v>
      </c>
      <c r="B216" t="s">
        <v>681</v>
      </c>
      <c r="C216" t="str">
        <f t="shared" si="84"/>
        <v>Monica Roberts</v>
      </c>
      <c r="D216" t="s">
        <v>304</v>
      </c>
      <c r="E216" s="3" t="str">
        <f t="shared" si="92"/>
        <v>Female</v>
      </c>
      <c r="F216" s="5">
        <v>22</v>
      </c>
      <c r="G216" t="s">
        <v>104</v>
      </c>
      <c r="H216" t="s">
        <v>105</v>
      </c>
      <c r="I216" t="s">
        <v>284</v>
      </c>
      <c r="J216" s="5">
        <v>0</v>
      </c>
      <c r="K216" s="3" t="str" cm="1">
        <f t="array" ref="K216">_xlfn.IFS(J216&lt;=5, "0-5", J216&lt;=10, "6-10", J216&lt;=15, "11-15", J216&lt;=20, "16-20", J216&gt;20, "21+")</f>
        <v>0-5</v>
      </c>
      <c r="L216">
        <v>100</v>
      </c>
      <c r="M216" s="4">
        <f>L216</f>
        <v>100</v>
      </c>
      <c r="N216" s="4">
        <f t="shared" si="93"/>
        <v>100</v>
      </c>
      <c r="O216" s="5">
        <v>2.7</v>
      </c>
      <c r="P216" t="b">
        <v>1</v>
      </c>
      <c r="Q216" t="s">
        <v>28</v>
      </c>
      <c r="R216" s="1">
        <v>0.64</v>
      </c>
      <c r="S216" s="6">
        <f t="shared" si="104"/>
        <v>0.64</v>
      </c>
    </row>
    <row r="217" spans="1:19" ht="13.5" x14ac:dyDescent="0.25">
      <c r="A217" t="s">
        <v>682</v>
      </c>
      <c r="B217" t="s">
        <v>683</v>
      </c>
      <c r="C217" t="str">
        <f t="shared" si="84"/>
        <v>Danny Brown</v>
      </c>
      <c r="D217" t="s">
        <v>43</v>
      </c>
      <c r="E217" s="3" t="str">
        <f t="shared" si="92"/>
        <v>Male</v>
      </c>
      <c r="G217" t="s">
        <v>146</v>
      </c>
      <c r="H217" t="s">
        <v>147</v>
      </c>
      <c r="I217" t="s">
        <v>284</v>
      </c>
      <c r="J217" s="5">
        <v>12</v>
      </c>
      <c r="K217" s="3" t="str" cm="1">
        <f t="array" ref="K217">_xlfn.IFS(J217&lt;=5, "0-5", J217&lt;=10, "6-10", J217&lt;=15, "11-15", J217&lt;=20, "16-20", J217&gt;20, "21+")</f>
        <v>11-15</v>
      </c>
      <c r="L217" s="2">
        <v>20</v>
      </c>
      <c r="M217" s="4" t="str">
        <f t="shared" ref="M217:M218" si="105">SUBSTITUTE(L217, "$","")</f>
        <v>20</v>
      </c>
      <c r="N217" s="4">
        <f t="shared" si="93"/>
        <v>20</v>
      </c>
      <c r="O217" s="5">
        <v>0</v>
      </c>
      <c r="P217" t="b">
        <v>1</v>
      </c>
      <c r="Q217" t="s">
        <v>28</v>
      </c>
      <c r="R217" s="1">
        <v>0.8</v>
      </c>
      <c r="S217" s="6">
        <f t="shared" si="104"/>
        <v>0.8</v>
      </c>
    </row>
    <row r="218" spans="1:19" ht="13.5" x14ac:dyDescent="0.25">
      <c r="A218" t="s">
        <v>684</v>
      </c>
      <c r="B218" t="s">
        <v>685</v>
      </c>
      <c r="C218" t="str">
        <f t="shared" si="84"/>
        <v>Karen Larsen</v>
      </c>
      <c r="D218" t="s">
        <v>301</v>
      </c>
      <c r="E218" s="3" t="str">
        <f t="shared" si="92"/>
        <v>Female</v>
      </c>
      <c r="F218" s="5">
        <v>58</v>
      </c>
      <c r="G218" t="s">
        <v>84</v>
      </c>
      <c r="H218" t="s">
        <v>24</v>
      </c>
      <c r="I218" t="s">
        <v>285</v>
      </c>
      <c r="J218" s="5">
        <v>4</v>
      </c>
      <c r="K218" s="3" t="str" cm="1">
        <f t="array" ref="K218">_xlfn.IFS(J218&lt;=5, "0-5", J218&lt;=10, "6-10", J218&lt;=15, "11-15", J218&lt;=20, "16-20", J218&gt;20, "21+")</f>
        <v>0-5</v>
      </c>
      <c r="L218" s="2">
        <v>50</v>
      </c>
      <c r="M218" s="4" t="str">
        <f t="shared" si="105"/>
        <v>50</v>
      </c>
      <c r="N218" s="4">
        <f t="shared" si="93"/>
        <v>50</v>
      </c>
      <c r="O218" s="5">
        <v>3.1</v>
      </c>
      <c r="P218">
        <v>0</v>
      </c>
      <c r="Q218" t="s">
        <v>54</v>
      </c>
      <c r="R218" s="1">
        <v>0.9</v>
      </c>
      <c r="S218" s="6">
        <f t="shared" si="104"/>
        <v>0.9</v>
      </c>
    </row>
    <row r="219" spans="1:19" ht="13.5" x14ac:dyDescent="0.25">
      <c r="A219" t="s">
        <v>686</v>
      </c>
      <c r="B219" t="s">
        <v>687</v>
      </c>
      <c r="C219" t="str">
        <f t="shared" si="84"/>
        <v>Robert Evans</v>
      </c>
      <c r="D219" t="s">
        <v>328</v>
      </c>
      <c r="E219" s="3" t="str">
        <f t="shared" si="92"/>
        <v>Male</v>
      </c>
      <c r="F219" s="5">
        <v>39</v>
      </c>
      <c r="G219" t="s">
        <v>62</v>
      </c>
      <c r="H219" t="s">
        <v>63</v>
      </c>
      <c r="I219" t="s">
        <v>290</v>
      </c>
      <c r="J219" s="5">
        <v>14</v>
      </c>
      <c r="K219" s="3" t="str" cm="1">
        <f t="array" ref="K219">_xlfn.IFS(J219&lt;=5, "0-5", J219&lt;=10, "6-10", J219&lt;=15, "11-15", J219&lt;=20, "16-20", J219&gt;20, "21+")</f>
        <v>11-15</v>
      </c>
      <c r="L219" t="s">
        <v>40</v>
      </c>
      <c r="M219" s="4" t="str">
        <f t="shared" ref="M219" si="106">_xlfn.TEXTAFTER(L219, " ")</f>
        <v>100</v>
      </c>
      <c r="N219" s="4">
        <f t="shared" si="93"/>
        <v>100</v>
      </c>
      <c r="O219" s="5">
        <v>0</v>
      </c>
      <c r="P219" t="s">
        <v>57</v>
      </c>
      <c r="Q219" t="s">
        <v>28</v>
      </c>
      <c r="R219" s="1">
        <v>0.92</v>
      </c>
      <c r="S219" s="6">
        <f t="shared" si="104"/>
        <v>0.92</v>
      </c>
    </row>
    <row r="220" spans="1:19" ht="13.5" x14ac:dyDescent="0.25">
      <c r="A220" t="s">
        <v>688</v>
      </c>
      <c r="B220" t="s">
        <v>689</v>
      </c>
      <c r="C220" t="str">
        <f t="shared" si="84"/>
        <v>Sean Poole</v>
      </c>
      <c r="D220" t="s">
        <v>328</v>
      </c>
      <c r="E220" s="3" t="str">
        <f t="shared" si="92"/>
        <v>Male</v>
      </c>
      <c r="F220" s="5">
        <v>32</v>
      </c>
      <c r="G220" t="s">
        <v>104</v>
      </c>
      <c r="H220" t="s">
        <v>105</v>
      </c>
      <c r="I220" t="s">
        <v>287</v>
      </c>
      <c r="J220" s="5">
        <v>14</v>
      </c>
      <c r="K220" s="3" t="str" cm="1">
        <f t="array" ref="K220">_xlfn.IFS(J220&lt;=5, "0-5", J220&lt;=10, "6-10", J220&lt;=15, "11-15", J220&lt;=20, "16-20", J220&gt;20, "21+")</f>
        <v>11-15</v>
      </c>
      <c r="N220" s="4" t="str">
        <f t="shared" si="93"/>
        <v>NA</v>
      </c>
      <c r="P220">
        <v>0</v>
      </c>
      <c r="Q220" t="s">
        <v>54</v>
      </c>
      <c r="R220" s="1">
        <v>0.96</v>
      </c>
      <c r="S220" s="6">
        <f t="shared" si="104"/>
        <v>0.96</v>
      </c>
    </row>
    <row r="221" spans="1:19" ht="13.5" x14ac:dyDescent="0.25">
      <c r="A221" t="s">
        <v>690</v>
      </c>
      <c r="B221" t="s">
        <v>691</v>
      </c>
      <c r="C221" t="str">
        <f t="shared" si="84"/>
        <v>Richard Quinn</v>
      </c>
      <c r="D221" t="s">
        <v>43</v>
      </c>
      <c r="E221" s="3" t="str">
        <f t="shared" si="92"/>
        <v>Male</v>
      </c>
      <c r="F221" s="5">
        <v>37</v>
      </c>
      <c r="G221" t="s">
        <v>125</v>
      </c>
      <c r="H221" t="s">
        <v>39</v>
      </c>
      <c r="I221" t="s">
        <v>286</v>
      </c>
      <c r="J221" s="5">
        <v>2</v>
      </c>
      <c r="K221" s="3" t="str" cm="1">
        <f t="array" ref="K221">_xlfn.IFS(J221&lt;=5, "0-5", J221&lt;=10, "6-10", J221&lt;=15, "11-15", J221&lt;=20, "16-20", J221&gt;20, "21+")</f>
        <v>0-5</v>
      </c>
      <c r="L221" s="2">
        <v>30</v>
      </c>
      <c r="M221" s="4" t="str">
        <f>SUBSTITUTE(L221, "$","")</f>
        <v>30</v>
      </c>
      <c r="N221" s="4">
        <f t="shared" si="93"/>
        <v>30</v>
      </c>
      <c r="O221" s="5">
        <v>2.2999999999999998</v>
      </c>
      <c r="P221" t="s">
        <v>27</v>
      </c>
      <c r="Q221" t="s">
        <v>28</v>
      </c>
      <c r="S221" s="7"/>
    </row>
    <row r="222" spans="1:19" ht="13.5" x14ac:dyDescent="0.25">
      <c r="A222" t="s">
        <v>692</v>
      </c>
      <c r="B222" t="s">
        <v>693</v>
      </c>
      <c r="C222" t="str">
        <f t="shared" si="84"/>
        <v>Jennifer Gonzalez</v>
      </c>
      <c r="D222" t="s">
        <v>21</v>
      </c>
      <c r="E222" s="3" t="str">
        <f t="shared" si="92"/>
        <v>Female</v>
      </c>
      <c r="F222" s="5">
        <v>21</v>
      </c>
      <c r="G222" t="s">
        <v>165</v>
      </c>
      <c r="H222" t="s">
        <v>166</v>
      </c>
      <c r="I222" t="s">
        <v>288</v>
      </c>
      <c r="J222" s="5">
        <v>2</v>
      </c>
      <c r="K222" s="3" t="str" cm="1">
        <f t="array" ref="K222">_xlfn.IFS(J222&lt;=5, "0-5", J222&lt;=10, "6-10", J222&lt;=15, "11-15", J222&lt;=20, "16-20", J222&gt;20, "21+")</f>
        <v>0-5</v>
      </c>
      <c r="L222">
        <v>100</v>
      </c>
      <c r="M222" s="4">
        <f t="shared" ref="M222:M223" si="107">L222</f>
        <v>100</v>
      </c>
      <c r="N222" s="4">
        <f t="shared" si="93"/>
        <v>100</v>
      </c>
      <c r="O222" s="5">
        <v>2.4</v>
      </c>
      <c r="P222" t="s">
        <v>57</v>
      </c>
      <c r="Q222" t="s">
        <v>28</v>
      </c>
      <c r="S222" s="7"/>
    </row>
    <row r="223" spans="1:19" ht="13.5" x14ac:dyDescent="0.25">
      <c r="A223" t="s">
        <v>694</v>
      </c>
      <c r="B223" t="s">
        <v>695</v>
      </c>
      <c r="C223" t="str">
        <f t="shared" si="84"/>
        <v>James Skinner</v>
      </c>
      <c r="D223" t="s">
        <v>311</v>
      </c>
      <c r="E223" s="3" t="str">
        <f t="shared" si="92"/>
        <v>Male</v>
      </c>
      <c r="F223" s="5">
        <v>41</v>
      </c>
      <c r="G223" t="s">
        <v>62</v>
      </c>
      <c r="H223" t="s">
        <v>63</v>
      </c>
      <c r="I223" t="s">
        <v>284</v>
      </c>
      <c r="J223" s="5">
        <v>4</v>
      </c>
      <c r="K223" s="3" t="str" cm="1">
        <f t="array" ref="K223">_xlfn.IFS(J223&lt;=5, "0-5", J223&lt;=10, "6-10", J223&lt;=15, "11-15", J223&lt;=20, "16-20", J223&gt;20, "21+")</f>
        <v>0-5</v>
      </c>
      <c r="L223">
        <v>75</v>
      </c>
      <c r="M223" s="4">
        <f t="shared" si="107"/>
        <v>75</v>
      </c>
      <c r="N223" s="4">
        <f t="shared" si="93"/>
        <v>75</v>
      </c>
      <c r="O223" s="5">
        <v>2.6</v>
      </c>
      <c r="R223" s="1">
        <v>0.85</v>
      </c>
      <c r="S223" s="6">
        <f t="shared" ref="S223:S226" si="108">R223</f>
        <v>0.85</v>
      </c>
    </row>
    <row r="224" spans="1:19" ht="13.5" x14ac:dyDescent="0.25">
      <c r="A224" t="s">
        <v>267</v>
      </c>
      <c r="B224" t="s">
        <v>268</v>
      </c>
      <c r="C224" t="str">
        <f t="shared" si="84"/>
        <v>Michelle Hill</v>
      </c>
      <c r="D224" t="s">
        <v>37</v>
      </c>
      <c r="E224" s="3" t="str">
        <f t="shared" si="92"/>
        <v>Female</v>
      </c>
      <c r="F224" s="5">
        <v>21</v>
      </c>
      <c r="G224" t="s">
        <v>125</v>
      </c>
      <c r="H224" t="s">
        <v>39</v>
      </c>
      <c r="I224" t="s">
        <v>25</v>
      </c>
      <c r="J224" s="5">
        <v>0</v>
      </c>
      <c r="K224" s="3" t="str" cm="1">
        <f t="array" ref="K224">_xlfn.IFS(J224&lt;=5, "0-5", J224&lt;=10, "6-10", J224&lt;=15, "11-15", J224&lt;=20, "16-20", J224&gt;20, "21+")</f>
        <v>0-5</v>
      </c>
      <c r="L224" t="s">
        <v>99</v>
      </c>
      <c r="M224" s="4" t="str">
        <f t="shared" ref="M224" si="109">_xlfn.TEXTAFTER(L224, " ")</f>
        <v>40</v>
      </c>
      <c r="N224" s="4">
        <f t="shared" si="93"/>
        <v>40</v>
      </c>
      <c r="O224" s="5">
        <v>1.1000000000000001</v>
      </c>
      <c r="P224">
        <v>0</v>
      </c>
      <c r="Q224" t="s">
        <v>54</v>
      </c>
      <c r="R224" s="1">
        <v>0.79</v>
      </c>
      <c r="S224" s="6">
        <f t="shared" si="108"/>
        <v>0.79</v>
      </c>
    </row>
    <row r="225" spans="1:19" ht="13.5" x14ac:dyDescent="0.25">
      <c r="A225" t="s">
        <v>696</v>
      </c>
      <c r="B225" t="s">
        <v>697</v>
      </c>
      <c r="C225" t="str">
        <f t="shared" si="84"/>
        <v>Jacqueline Williams</v>
      </c>
      <c r="D225" t="s">
        <v>301</v>
      </c>
      <c r="E225" s="3" t="str">
        <f t="shared" si="92"/>
        <v>Female</v>
      </c>
      <c r="F225" s="5">
        <v>58</v>
      </c>
      <c r="G225" t="s">
        <v>165</v>
      </c>
      <c r="H225" t="s">
        <v>166</v>
      </c>
      <c r="I225" t="s">
        <v>284</v>
      </c>
      <c r="J225" s="5">
        <v>9</v>
      </c>
      <c r="K225" s="3" t="str" cm="1">
        <f t="array" ref="K225">_xlfn.IFS(J225&lt;=5, "0-5", J225&lt;=10, "6-10", J225&lt;=15, "11-15", J225&lt;=20, "16-20", J225&gt;20, "21+")</f>
        <v>6-10</v>
      </c>
      <c r="L225">
        <v>30</v>
      </c>
      <c r="M225" s="4">
        <f t="shared" ref="M225:M226" si="110">L225</f>
        <v>30</v>
      </c>
      <c r="N225" s="4">
        <f t="shared" si="93"/>
        <v>30</v>
      </c>
      <c r="O225" s="5">
        <v>0</v>
      </c>
      <c r="P225">
        <v>1</v>
      </c>
      <c r="Q225" t="s">
        <v>28</v>
      </c>
      <c r="R225" s="1">
        <v>0.65</v>
      </c>
      <c r="S225" s="6">
        <f t="shared" si="108"/>
        <v>0.65</v>
      </c>
    </row>
    <row r="226" spans="1:19" ht="13.5" x14ac:dyDescent="0.25">
      <c r="A226" t="s">
        <v>698</v>
      </c>
      <c r="B226" t="s">
        <v>699</v>
      </c>
      <c r="C226" t="str">
        <f t="shared" si="84"/>
        <v>Darrell Johnson</v>
      </c>
      <c r="D226" t="s">
        <v>32</v>
      </c>
      <c r="E226" s="3" t="str">
        <f t="shared" si="92"/>
        <v>Male</v>
      </c>
      <c r="F226" s="5">
        <v>60</v>
      </c>
      <c r="G226" t="s">
        <v>125</v>
      </c>
      <c r="H226" t="s">
        <v>39</v>
      </c>
      <c r="I226" t="s">
        <v>284</v>
      </c>
      <c r="J226" s="5">
        <v>3</v>
      </c>
      <c r="K226" s="3" t="str" cm="1">
        <f t="array" ref="K226">_xlfn.IFS(J226&lt;=5, "0-5", J226&lt;=10, "6-10", J226&lt;=15, "11-15", J226&lt;=20, "16-20", J226&gt;20, "21+")</f>
        <v>0-5</v>
      </c>
      <c r="L226">
        <v>40</v>
      </c>
      <c r="M226" s="4">
        <f t="shared" si="110"/>
        <v>40</v>
      </c>
      <c r="N226" s="4">
        <f t="shared" si="93"/>
        <v>40</v>
      </c>
      <c r="O226" s="5">
        <v>4.7</v>
      </c>
      <c r="P226" t="b">
        <v>0</v>
      </c>
      <c r="Q226" t="s">
        <v>54</v>
      </c>
      <c r="R226" s="1">
        <v>0.63</v>
      </c>
      <c r="S226" s="6">
        <f t="shared" si="108"/>
        <v>0.63</v>
      </c>
    </row>
    <row r="227" spans="1:19" ht="13.5" x14ac:dyDescent="0.25">
      <c r="A227" t="s">
        <v>700</v>
      </c>
      <c r="B227" t="s">
        <v>701</v>
      </c>
      <c r="C227" t="str">
        <f t="shared" si="84"/>
        <v>Ryan Crawford</v>
      </c>
      <c r="D227" t="s">
        <v>328</v>
      </c>
      <c r="E227" s="3" t="str">
        <f t="shared" si="92"/>
        <v>Male</v>
      </c>
      <c r="F227" s="5">
        <v>27</v>
      </c>
      <c r="G227" t="s">
        <v>177</v>
      </c>
      <c r="H227" t="s">
        <v>178</v>
      </c>
      <c r="I227" t="s">
        <v>290</v>
      </c>
      <c r="J227" s="5">
        <v>2</v>
      </c>
      <c r="K227" s="3" t="str" cm="1">
        <f t="array" ref="K227">_xlfn.IFS(J227&lt;=5, "0-5", J227&lt;=10, "6-10", J227&lt;=15, "11-15", J227&lt;=20, "16-20", J227&gt;20, "21+")</f>
        <v>0-5</v>
      </c>
      <c r="L227" s="2">
        <v>40</v>
      </c>
      <c r="M227" s="4" t="str">
        <f>SUBSTITUTE(L227, "$","")</f>
        <v>40</v>
      </c>
      <c r="N227" s="4">
        <f t="shared" si="93"/>
        <v>40</v>
      </c>
      <c r="O227" s="5">
        <v>1.2</v>
      </c>
      <c r="P227" t="b">
        <v>0</v>
      </c>
      <c r="Q227" t="s">
        <v>54</v>
      </c>
      <c r="S227" s="7"/>
    </row>
    <row r="228" spans="1:19" ht="13.5" x14ac:dyDescent="0.25">
      <c r="A228" t="s">
        <v>702</v>
      </c>
      <c r="B228" t="s">
        <v>703</v>
      </c>
      <c r="C228" t="str">
        <f t="shared" si="84"/>
        <v>Chelsea Barber</v>
      </c>
      <c r="D228" t="s">
        <v>37</v>
      </c>
      <c r="E228" s="3" t="str">
        <f t="shared" si="92"/>
        <v>Female</v>
      </c>
      <c r="F228" s="5">
        <v>29</v>
      </c>
      <c r="G228" t="s">
        <v>33</v>
      </c>
      <c r="H228" t="s">
        <v>34</v>
      </c>
      <c r="I228" t="s">
        <v>284</v>
      </c>
      <c r="J228" s="5">
        <v>10</v>
      </c>
      <c r="K228" s="3" t="str" cm="1">
        <f t="array" ref="K228">_xlfn.IFS(J228&lt;=5, "0-5", J228&lt;=10, "6-10", J228&lt;=15, "11-15", J228&lt;=20, "16-20", J228&gt;20, "21+")</f>
        <v>6-10</v>
      </c>
      <c r="L228" t="s">
        <v>99</v>
      </c>
      <c r="M228" s="4" t="str">
        <f t="shared" ref="M228" si="111">_xlfn.TEXTAFTER(L228, " ")</f>
        <v>40</v>
      </c>
      <c r="N228" s="4">
        <f t="shared" si="93"/>
        <v>40</v>
      </c>
      <c r="O228" s="5">
        <v>1.2</v>
      </c>
      <c r="P228" t="b">
        <v>0</v>
      </c>
      <c r="Q228" t="s">
        <v>54</v>
      </c>
      <c r="R228" s="1">
        <v>0.78</v>
      </c>
      <c r="S228" s="6">
        <f t="shared" ref="S228:S230" si="112">R228</f>
        <v>0.78</v>
      </c>
    </row>
    <row r="229" spans="1:19" ht="13.5" x14ac:dyDescent="0.25">
      <c r="A229" t="s">
        <v>704</v>
      </c>
      <c r="B229" t="s">
        <v>705</v>
      </c>
      <c r="C229" t="str">
        <f t="shared" si="84"/>
        <v>Elaine Martinez</v>
      </c>
      <c r="D229" t="s">
        <v>22</v>
      </c>
      <c r="E229" s="3" t="str">
        <f t="shared" si="92"/>
        <v>Female</v>
      </c>
      <c r="F229" s="5">
        <v>54</v>
      </c>
      <c r="G229" t="s">
        <v>125</v>
      </c>
      <c r="H229" t="s">
        <v>39</v>
      </c>
      <c r="I229" t="s">
        <v>287</v>
      </c>
      <c r="J229" s="5">
        <v>33</v>
      </c>
      <c r="K229" s="3" t="str" cm="1">
        <f t="array" ref="K229">_xlfn.IFS(J229&lt;=5, "0-5", J229&lt;=10, "6-10", J229&lt;=15, "11-15", J229&lt;=20, "16-20", J229&gt;20, "21+")</f>
        <v>21+</v>
      </c>
      <c r="L229" s="2">
        <v>75</v>
      </c>
      <c r="M229" s="4" t="str">
        <f>SUBSTITUTE(L229, "$","")</f>
        <v>75</v>
      </c>
      <c r="N229" s="4">
        <f t="shared" si="93"/>
        <v>75</v>
      </c>
      <c r="O229" s="5">
        <v>0</v>
      </c>
      <c r="P229">
        <v>1</v>
      </c>
      <c r="Q229" t="s">
        <v>28</v>
      </c>
      <c r="R229" s="1">
        <v>0.62</v>
      </c>
      <c r="S229" s="6">
        <f t="shared" si="112"/>
        <v>0.62</v>
      </c>
    </row>
    <row r="230" spans="1:19" ht="13.5" x14ac:dyDescent="0.25">
      <c r="A230" t="s">
        <v>706</v>
      </c>
      <c r="B230" t="s">
        <v>707</v>
      </c>
      <c r="C230" t="str">
        <f t="shared" si="84"/>
        <v>Joseph Kent</v>
      </c>
      <c r="D230" t="s">
        <v>328</v>
      </c>
      <c r="E230" s="3" t="str">
        <f t="shared" si="92"/>
        <v>Male</v>
      </c>
      <c r="F230" s="5">
        <v>52</v>
      </c>
      <c r="G230" t="s">
        <v>44</v>
      </c>
      <c r="H230" t="s">
        <v>24</v>
      </c>
      <c r="I230" t="s">
        <v>284</v>
      </c>
      <c r="J230" s="5">
        <v>12</v>
      </c>
      <c r="K230" s="3" t="str" cm="1">
        <f t="array" ref="K230">_xlfn.IFS(J230&lt;=5, "0-5", J230&lt;=10, "6-10", J230&lt;=15, "11-15", J230&lt;=20, "16-20", J230&gt;20, "21+")</f>
        <v>11-15</v>
      </c>
      <c r="L230">
        <v>40</v>
      </c>
      <c r="M230" s="4">
        <f t="shared" ref="M230:M231" si="113">L230</f>
        <v>40</v>
      </c>
      <c r="N230" s="4">
        <f t="shared" si="93"/>
        <v>40</v>
      </c>
      <c r="O230" s="5">
        <v>1.2</v>
      </c>
      <c r="P230">
        <v>0</v>
      </c>
      <c r="Q230" t="s">
        <v>54</v>
      </c>
      <c r="R230" s="1">
        <v>0.76</v>
      </c>
      <c r="S230" s="6">
        <f t="shared" si="112"/>
        <v>0.76</v>
      </c>
    </row>
    <row r="231" spans="1:19" ht="13.5" x14ac:dyDescent="0.25">
      <c r="A231" t="s">
        <v>708</v>
      </c>
      <c r="B231" t="s">
        <v>709</v>
      </c>
      <c r="C231" t="str">
        <f t="shared" si="84"/>
        <v>Megan Welch</v>
      </c>
      <c r="D231" t="s">
        <v>21</v>
      </c>
      <c r="E231" s="3" t="str">
        <f t="shared" si="92"/>
        <v>Female</v>
      </c>
      <c r="F231" s="5">
        <v>55</v>
      </c>
      <c r="G231" t="s">
        <v>104</v>
      </c>
      <c r="H231" t="s">
        <v>105</v>
      </c>
      <c r="I231" t="s">
        <v>292</v>
      </c>
      <c r="J231" s="5">
        <v>18</v>
      </c>
      <c r="K231" s="3" t="str" cm="1">
        <f t="array" ref="K231">_xlfn.IFS(J231&lt;=5, "0-5", J231&lt;=10, "6-10", J231&lt;=15, "11-15", J231&lt;=20, "16-20", J231&gt;20, "21+")</f>
        <v>16-20</v>
      </c>
      <c r="L231">
        <v>100</v>
      </c>
      <c r="M231" s="4">
        <f t="shared" si="113"/>
        <v>100</v>
      </c>
      <c r="N231" s="4">
        <f t="shared" si="93"/>
        <v>100</v>
      </c>
      <c r="O231" s="5">
        <v>2.9</v>
      </c>
      <c r="P231">
        <v>0</v>
      </c>
      <c r="Q231" t="s">
        <v>54</v>
      </c>
      <c r="R231">
        <v>97</v>
      </c>
      <c r="S231" s="6">
        <f>R231/100</f>
        <v>0.97</v>
      </c>
    </row>
    <row r="232" spans="1:19" ht="13.5" x14ac:dyDescent="0.25">
      <c r="A232" t="s">
        <v>710</v>
      </c>
      <c r="B232" t="s">
        <v>711</v>
      </c>
      <c r="C232" t="str">
        <f t="shared" si="84"/>
        <v>Stephen Ramirez</v>
      </c>
      <c r="D232" t="s">
        <v>31</v>
      </c>
      <c r="E232" s="3" t="str">
        <f t="shared" si="92"/>
        <v>Male</v>
      </c>
      <c r="F232" s="5">
        <v>37</v>
      </c>
      <c r="G232" t="s">
        <v>47</v>
      </c>
      <c r="H232" t="s">
        <v>48</v>
      </c>
      <c r="I232" t="s">
        <v>292</v>
      </c>
      <c r="J232" s="5">
        <v>4</v>
      </c>
      <c r="K232" s="3" t="str" cm="1">
        <f t="array" ref="K232">_xlfn.IFS(J232&lt;=5, "0-5", J232&lt;=10, "6-10", J232&lt;=15, "11-15", J232&lt;=20, "16-20", J232&gt;20, "21+")</f>
        <v>0-5</v>
      </c>
      <c r="N232" s="4" t="str">
        <f t="shared" si="93"/>
        <v>NA</v>
      </c>
      <c r="P232" t="s">
        <v>64</v>
      </c>
      <c r="Q232" t="s">
        <v>54</v>
      </c>
      <c r="S232" s="7"/>
    </row>
    <row r="233" spans="1:19" ht="13.5" x14ac:dyDescent="0.25">
      <c r="A233" t="s">
        <v>712</v>
      </c>
      <c r="B233" t="s">
        <v>713</v>
      </c>
      <c r="C233" t="str">
        <f t="shared" si="84"/>
        <v>Chloe Gray</v>
      </c>
      <c r="D233" t="s">
        <v>37</v>
      </c>
      <c r="E233" s="3" t="str">
        <f t="shared" si="92"/>
        <v>Female</v>
      </c>
      <c r="F233" s="5">
        <v>34</v>
      </c>
      <c r="G233" t="s">
        <v>117</v>
      </c>
      <c r="H233" t="s">
        <v>118</v>
      </c>
      <c r="I233" t="s">
        <v>291</v>
      </c>
      <c r="J233" s="5">
        <v>11</v>
      </c>
      <c r="K233" s="3" t="str" cm="1">
        <f t="array" ref="K233">_xlfn.IFS(J233&lt;=5, "0-5", J233&lt;=10, "6-10", J233&lt;=15, "11-15", J233&lt;=20, "16-20", J233&gt;20, "21+")</f>
        <v>11-15</v>
      </c>
      <c r="L233" s="2">
        <v>50</v>
      </c>
      <c r="M233" s="4" t="str">
        <f>SUBSTITUTE(L233, "$","")</f>
        <v>50</v>
      </c>
      <c r="N233" s="4">
        <f t="shared" si="93"/>
        <v>50</v>
      </c>
      <c r="O233" s="5">
        <v>3.9</v>
      </c>
      <c r="P233">
        <v>1</v>
      </c>
      <c r="Q233" t="s">
        <v>28</v>
      </c>
      <c r="R233" s="1">
        <v>0.82</v>
      </c>
      <c r="S233" s="6">
        <f t="shared" ref="S233:S234" si="114">R233</f>
        <v>0.82</v>
      </c>
    </row>
    <row r="234" spans="1:19" ht="13.5" x14ac:dyDescent="0.25">
      <c r="A234" t="s">
        <v>714</v>
      </c>
      <c r="B234" t="s">
        <v>715</v>
      </c>
      <c r="C234" t="str">
        <f t="shared" si="84"/>
        <v>Michael Williams Jr.</v>
      </c>
      <c r="D234" t="s">
        <v>43</v>
      </c>
      <c r="E234" s="3" t="str">
        <f t="shared" si="92"/>
        <v>Male</v>
      </c>
      <c r="F234" s="5">
        <v>20</v>
      </c>
      <c r="G234" t="s">
        <v>132</v>
      </c>
      <c r="H234" t="s">
        <v>133</v>
      </c>
      <c r="I234" t="s">
        <v>291</v>
      </c>
      <c r="J234" s="5">
        <v>1</v>
      </c>
      <c r="K234" s="3" t="str" cm="1">
        <f t="array" ref="K234">_xlfn.IFS(J234&lt;=5, "0-5", J234&lt;=10, "6-10", J234&lt;=15, "11-15", J234&lt;=20, "16-20", J234&gt;20, "21+")</f>
        <v>0-5</v>
      </c>
      <c r="L234">
        <v>50</v>
      </c>
      <c r="M234" s="4">
        <f>L234</f>
        <v>50</v>
      </c>
      <c r="N234" s="4">
        <f t="shared" si="93"/>
        <v>50</v>
      </c>
      <c r="O234" s="5">
        <v>3.1</v>
      </c>
      <c r="R234" s="1">
        <v>0.71</v>
      </c>
      <c r="S234" s="6">
        <f t="shared" si="114"/>
        <v>0.71</v>
      </c>
    </row>
    <row r="235" spans="1:19" ht="13.5" x14ac:dyDescent="0.25">
      <c r="A235" t="s">
        <v>716</v>
      </c>
      <c r="B235" t="s">
        <v>717</v>
      </c>
      <c r="C235" t="str">
        <f t="shared" si="84"/>
        <v>Matthew Martin</v>
      </c>
      <c r="D235" t="s">
        <v>43</v>
      </c>
      <c r="E235" s="3" t="str">
        <f t="shared" si="92"/>
        <v>Male</v>
      </c>
      <c r="F235" s="5">
        <v>22</v>
      </c>
      <c r="G235" t="s">
        <v>44</v>
      </c>
      <c r="H235" t="s">
        <v>24</v>
      </c>
      <c r="I235" t="s">
        <v>286</v>
      </c>
      <c r="J235" s="5">
        <v>2</v>
      </c>
      <c r="K235" s="3" t="str" cm="1">
        <f t="array" ref="K235">_xlfn.IFS(J235&lt;=5, "0-5", J235&lt;=10, "6-10", J235&lt;=15, "11-15", J235&lt;=20, "16-20", J235&gt;20, "21+")</f>
        <v>0-5</v>
      </c>
      <c r="N235" s="4" t="str">
        <f t="shared" si="93"/>
        <v>NA</v>
      </c>
      <c r="O235" s="5">
        <v>0</v>
      </c>
      <c r="P235">
        <v>1</v>
      </c>
      <c r="Q235" t="s">
        <v>28</v>
      </c>
      <c r="S235" s="7"/>
    </row>
    <row r="236" spans="1:19" ht="13.5" x14ac:dyDescent="0.25">
      <c r="A236" t="s">
        <v>718</v>
      </c>
      <c r="B236" t="s">
        <v>719</v>
      </c>
      <c r="C236" t="str">
        <f t="shared" si="84"/>
        <v>Julia Murphy</v>
      </c>
      <c r="D236" t="s">
        <v>37</v>
      </c>
      <c r="E236" s="3" t="str">
        <f t="shared" si="92"/>
        <v>Female</v>
      </c>
      <c r="F236" s="5">
        <v>23</v>
      </c>
      <c r="G236" t="s">
        <v>62</v>
      </c>
      <c r="H236" t="s">
        <v>63</v>
      </c>
      <c r="I236" t="s">
        <v>287</v>
      </c>
      <c r="J236" s="5">
        <v>2</v>
      </c>
      <c r="K236" s="3" t="str" cm="1">
        <f t="array" ref="K236">_xlfn.IFS(J236&lt;=5, "0-5", J236&lt;=10, "6-10", J236&lt;=15, "11-15", J236&lt;=20, "16-20", J236&gt;20, "21+")</f>
        <v>0-5</v>
      </c>
      <c r="L236">
        <v>50</v>
      </c>
      <c r="M236" s="4">
        <f t="shared" ref="M236:M239" si="115">L236</f>
        <v>50</v>
      </c>
      <c r="N236" s="4">
        <f t="shared" si="93"/>
        <v>50</v>
      </c>
      <c r="O236" s="5">
        <v>3.2</v>
      </c>
      <c r="P236" t="b">
        <v>1</v>
      </c>
      <c r="Q236" t="s">
        <v>28</v>
      </c>
      <c r="S236" s="7"/>
    </row>
    <row r="237" spans="1:19" ht="13.5" x14ac:dyDescent="0.25">
      <c r="A237" t="s">
        <v>720</v>
      </c>
      <c r="B237" t="s">
        <v>721</v>
      </c>
      <c r="C237" t="str">
        <f t="shared" si="84"/>
        <v>Anna Evans</v>
      </c>
      <c r="D237" t="s">
        <v>301</v>
      </c>
      <c r="E237" s="3" t="str">
        <f t="shared" si="92"/>
        <v>Female</v>
      </c>
      <c r="F237" s="5">
        <v>53</v>
      </c>
      <c r="G237" t="s">
        <v>62</v>
      </c>
      <c r="H237" t="s">
        <v>63</v>
      </c>
      <c r="I237" t="s">
        <v>292</v>
      </c>
      <c r="J237" s="5">
        <v>34</v>
      </c>
      <c r="K237" s="3" t="str" cm="1">
        <f t="array" ref="K237">_xlfn.IFS(J237&lt;=5, "0-5", J237&lt;=10, "6-10", J237&lt;=15, "11-15", J237&lt;=20, "16-20", J237&gt;20, "21+")</f>
        <v>21+</v>
      </c>
      <c r="L237">
        <v>30</v>
      </c>
      <c r="M237" s="4">
        <f t="shared" si="115"/>
        <v>30</v>
      </c>
      <c r="N237" s="4">
        <f t="shared" si="93"/>
        <v>30</v>
      </c>
      <c r="P237" t="s">
        <v>57</v>
      </c>
      <c r="Q237" t="s">
        <v>28</v>
      </c>
      <c r="S237" s="7"/>
    </row>
    <row r="238" spans="1:19" ht="13.5" x14ac:dyDescent="0.25">
      <c r="A238" t="s">
        <v>722</v>
      </c>
      <c r="B238" t="s">
        <v>723</v>
      </c>
      <c r="C238" t="str">
        <f t="shared" si="84"/>
        <v>Brenda Fleming</v>
      </c>
      <c r="D238" t="s">
        <v>301</v>
      </c>
      <c r="E238" s="3" t="str">
        <f t="shared" si="92"/>
        <v>Female</v>
      </c>
      <c r="F238" s="5">
        <v>56</v>
      </c>
      <c r="G238" t="s">
        <v>62</v>
      </c>
      <c r="H238" t="s">
        <v>63</v>
      </c>
      <c r="I238" t="s">
        <v>287</v>
      </c>
      <c r="J238" s="5">
        <v>27</v>
      </c>
      <c r="K238" s="3" t="str" cm="1">
        <f t="array" ref="K238">_xlfn.IFS(J238&lt;=5, "0-5", J238&lt;=10, "6-10", J238&lt;=15, "11-15", J238&lt;=20, "16-20", J238&gt;20, "21+")</f>
        <v>21+</v>
      </c>
      <c r="L238">
        <v>100</v>
      </c>
      <c r="M238" s="4">
        <f t="shared" si="115"/>
        <v>100</v>
      </c>
      <c r="N238" s="4">
        <f t="shared" si="93"/>
        <v>100</v>
      </c>
      <c r="O238" s="5">
        <v>4.7</v>
      </c>
      <c r="P238" t="b">
        <v>1</v>
      </c>
      <c r="Q238" t="s">
        <v>28</v>
      </c>
      <c r="R238" s="1">
        <v>0.69</v>
      </c>
      <c r="S238" s="6">
        <f t="shared" ref="S238:S240" si="116">R238</f>
        <v>0.69</v>
      </c>
    </row>
    <row r="239" spans="1:19" ht="13.5" x14ac:dyDescent="0.25">
      <c r="A239" t="s">
        <v>265</v>
      </c>
      <c r="B239" t="s">
        <v>266</v>
      </c>
      <c r="C239" t="str">
        <f t="shared" si="84"/>
        <v>Daniel Harrington</v>
      </c>
      <c r="D239" t="s">
        <v>328</v>
      </c>
      <c r="E239" s="3" t="str">
        <f t="shared" si="92"/>
        <v>Male</v>
      </c>
      <c r="F239" s="5">
        <v>27</v>
      </c>
      <c r="G239" t="s">
        <v>125</v>
      </c>
      <c r="H239" t="s">
        <v>39</v>
      </c>
      <c r="I239" t="s">
        <v>25</v>
      </c>
      <c r="J239" s="5">
        <v>4</v>
      </c>
      <c r="K239" s="3" t="str" cm="1">
        <f t="array" ref="K239">_xlfn.IFS(J239&lt;=5, "0-5", J239&lt;=10, "6-10", J239&lt;=15, "11-15", J239&lt;=20, "16-20", J239&gt;20, "21+")</f>
        <v>0-5</v>
      </c>
      <c r="L239">
        <v>75</v>
      </c>
      <c r="M239" s="4">
        <f t="shared" si="115"/>
        <v>75</v>
      </c>
      <c r="N239" s="4">
        <f t="shared" si="93"/>
        <v>75</v>
      </c>
      <c r="O239" s="5">
        <v>5</v>
      </c>
      <c r="P239">
        <v>0</v>
      </c>
      <c r="Q239" t="s">
        <v>54</v>
      </c>
      <c r="R239" s="1">
        <v>0.88</v>
      </c>
      <c r="S239" s="6">
        <f t="shared" si="116"/>
        <v>0.88</v>
      </c>
    </row>
    <row r="240" spans="1:19" ht="13.5" x14ac:dyDescent="0.25">
      <c r="A240" t="s">
        <v>724</v>
      </c>
      <c r="B240" t="s">
        <v>725</v>
      </c>
      <c r="C240" t="str">
        <f t="shared" si="84"/>
        <v>Daniel Barnett</v>
      </c>
      <c r="D240" t="s">
        <v>32</v>
      </c>
      <c r="E240" s="3" t="str">
        <f t="shared" si="92"/>
        <v>Male</v>
      </c>
      <c r="F240" s="5">
        <v>34</v>
      </c>
      <c r="G240" t="s">
        <v>253</v>
      </c>
      <c r="H240" t="s">
        <v>254</v>
      </c>
      <c r="I240" t="s">
        <v>285</v>
      </c>
      <c r="J240" s="5">
        <v>11</v>
      </c>
      <c r="K240" s="3" t="str" cm="1">
        <f t="array" ref="K240">_xlfn.IFS(J240&lt;=5, "0-5", J240&lt;=10, "6-10", J240&lt;=15, "11-15", J240&lt;=20, "16-20", J240&gt;20, "21+")</f>
        <v>11-15</v>
      </c>
      <c r="L240" t="s">
        <v>99</v>
      </c>
      <c r="M240" s="4" t="str">
        <f t="shared" ref="M240:M241" si="117">_xlfn.TEXTAFTER(L240, " ")</f>
        <v>40</v>
      </c>
      <c r="N240" s="4">
        <f t="shared" si="93"/>
        <v>40</v>
      </c>
      <c r="P240" t="b">
        <v>0</v>
      </c>
      <c r="Q240" t="s">
        <v>54</v>
      </c>
      <c r="R240" s="1">
        <v>0.67</v>
      </c>
      <c r="S240" s="6">
        <f t="shared" si="116"/>
        <v>0.67</v>
      </c>
    </row>
    <row r="241" spans="1:19" ht="13.5" x14ac:dyDescent="0.25">
      <c r="A241" t="s">
        <v>726</v>
      </c>
      <c r="B241" t="s">
        <v>727</v>
      </c>
      <c r="C241" t="str">
        <f t="shared" ref="C241:C274" si="118">B241</f>
        <v>Mark Cummings</v>
      </c>
      <c r="D241" t="s">
        <v>328</v>
      </c>
      <c r="E241" s="3" t="str">
        <f t="shared" si="92"/>
        <v>Male</v>
      </c>
      <c r="F241" s="5">
        <v>29</v>
      </c>
      <c r="G241" t="s">
        <v>183</v>
      </c>
      <c r="H241" t="s">
        <v>39</v>
      </c>
      <c r="I241" t="s">
        <v>290</v>
      </c>
      <c r="J241" s="5">
        <v>4</v>
      </c>
      <c r="K241" s="3" t="str" cm="1">
        <f t="array" ref="K241">_xlfn.IFS(J241&lt;=5, "0-5", J241&lt;=10, "6-10", J241&lt;=15, "11-15", J241&lt;=20, "16-20", J241&gt;20, "21+")</f>
        <v>0-5</v>
      </c>
      <c r="L241" t="s">
        <v>112</v>
      </c>
      <c r="M241" s="4" t="str">
        <f t="shared" si="117"/>
        <v>50</v>
      </c>
      <c r="N241" s="4">
        <f t="shared" si="93"/>
        <v>50</v>
      </c>
      <c r="O241" s="5">
        <v>4</v>
      </c>
      <c r="P241">
        <v>0</v>
      </c>
      <c r="Q241" t="s">
        <v>54</v>
      </c>
      <c r="S241" s="7"/>
    </row>
    <row r="242" spans="1:19" ht="13.5" x14ac:dyDescent="0.25">
      <c r="A242" t="s">
        <v>263</v>
      </c>
      <c r="B242" t="s">
        <v>264</v>
      </c>
      <c r="C242" t="str">
        <f t="shared" si="118"/>
        <v>Christopher Guerra</v>
      </c>
      <c r="D242" t="s">
        <v>328</v>
      </c>
      <c r="E242" s="3" t="str">
        <f t="shared" si="92"/>
        <v>Male</v>
      </c>
      <c r="F242" s="5">
        <v>34</v>
      </c>
      <c r="G242" t="s">
        <v>146</v>
      </c>
      <c r="H242" t="s">
        <v>147</v>
      </c>
      <c r="I242" t="s">
        <v>25</v>
      </c>
      <c r="J242" s="5">
        <v>11</v>
      </c>
      <c r="K242" s="3" t="str" cm="1">
        <f t="array" ref="K242">_xlfn.IFS(J242&lt;=5, "0-5", J242&lt;=10, "6-10", J242&lt;=15, "11-15", J242&lt;=20, "16-20", J242&gt;20, "21+")</f>
        <v>11-15</v>
      </c>
      <c r="N242" s="4" t="str">
        <f t="shared" si="93"/>
        <v>NA</v>
      </c>
      <c r="O242" s="5">
        <v>1.2</v>
      </c>
      <c r="P242">
        <v>1</v>
      </c>
      <c r="Q242" t="s">
        <v>28</v>
      </c>
      <c r="S242" s="7"/>
    </row>
    <row r="243" spans="1:19" ht="13.5" x14ac:dyDescent="0.25">
      <c r="A243" t="s">
        <v>261</v>
      </c>
      <c r="B243" t="s">
        <v>262</v>
      </c>
      <c r="C243" t="str">
        <f t="shared" si="118"/>
        <v>Sarah Ho</v>
      </c>
      <c r="D243" t="s">
        <v>304</v>
      </c>
      <c r="E243" s="3" t="str">
        <f t="shared" si="92"/>
        <v>Female</v>
      </c>
      <c r="F243" s="5">
        <v>32</v>
      </c>
      <c r="G243" t="s">
        <v>44</v>
      </c>
      <c r="H243" t="s">
        <v>24</v>
      </c>
      <c r="I243" t="s">
        <v>25</v>
      </c>
      <c r="J243" s="5">
        <v>1</v>
      </c>
      <c r="K243" s="3" t="str" cm="1">
        <f t="array" ref="K243">_xlfn.IFS(J243&lt;=5, "0-5", J243&lt;=10, "6-10", J243&lt;=15, "11-15", J243&lt;=20, "16-20", J243&gt;20, "21+")</f>
        <v>0-5</v>
      </c>
      <c r="L243">
        <v>100</v>
      </c>
      <c r="M243" s="4">
        <f t="shared" ref="M243:M244" si="119">L243</f>
        <v>100</v>
      </c>
      <c r="N243" s="4">
        <f t="shared" si="93"/>
        <v>100</v>
      </c>
      <c r="O243" s="5">
        <v>4.7</v>
      </c>
      <c r="P243">
        <v>0</v>
      </c>
      <c r="Q243" t="s">
        <v>54</v>
      </c>
      <c r="R243" s="1">
        <v>0.67</v>
      </c>
      <c r="S243" s="6">
        <f t="shared" ref="S243:S246" si="120">R243</f>
        <v>0.67</v>
      </c>
    </row>
    <row r="244" spans="1:19" ht="13.5" x14ac:dyDescent="0.25">
      <c r="A244" t="s">
        <v>728</v>
      </c>
      <c r="B244" t="s">
        <v>729</v>
      </c>
      <c r="C244" t="str">
        <f t="shared" si="118"/>
        <v>Veronica Thomas</v>
      </c>
      <c r="D244" t="s">
        <v>37</v>
      </c>
      <c r="E244" s="3" t="str">
        <f t="shared" si="92"/>
        <v>Female</v>
      </c>
      <c r="F244" s="5">
        <v>21</v>
      </c>
      <c r="G244" t="s">
        <v>177</v>
      </c>
      <c r="H244" t="s">
        <v>178</v>
      </c>
      <c r="I244" t="s">
        <v>284</v>
      </c>
      <c r="J244" s="5">
        <v>2</v>
      </c>
      <c r="K244" s="3" t="str" cm="1">
        <f t="array" ref="K244">_xlfn.IFS(J244&lt;=5, "0-5", J244&lt;=10, "6-10", J244&lt;=15, "11-15", J244&lt;=20, "16-20", J244&gt;20, "21+")</f>
        <v>0-5</v>
      </c>
      <c r="L244">
        <v>20</v>
      </c>
      <c r="M244" s="4">
        <f t="shared" si="119"/>
        <v>20</v>
      </c>
      <c r="N244" s="4">
        <f t="shared" si="93"/>
        <v>20</v>
      </c>
      <c r="O244" s="5">
        <v>2.4</v>
      </c>
      <c r="R244" s="1">
        <v>0.86</v>
      </c>
      <c r="S244" s="6">
        <f t="shared" si="120"/>
        <v>0.86</v>
      </c>
    </row>
    <row r="245" spans="1:19" ht="13.5" x14ac:dyDescent="0.25">
      <c r="A245" t="s">
        <v>730</v>
      </c>
      <c r="B245" t="s">
        <v>731</v>
      </c>
      <c r="C245" t="str">
        <f t="shared" si="118"/>
        <v>Mitchell Watson</v>
      </c>
      <c r="D245" t="s">
        <v>311</v>
      </c>
      <c r="E245" s="3" t="str">
        <f t="shared" si="92"/>
        <v>Male</v>
      </c>
      <c r="F245" s="5">
        <v>20</v>
      </c>
      <c r="G245" t="s">
        <v>44</v>
      </c>
      <c r="H245" t="s">
        <v>24</v>
      </c>
      <c r="I245" t="s">
        <v>287</v>
      </c>
      <c r="J245" s="5">
        <v>2</v>
      </c>
      <c r="K245" s="3" t="str" cm="1">
        <f t="array" ref="K245">_xlfn.IFS(J245&lt;=5, "0-5", J245&lt;=10, "6-10", J245&lt;=15, "11-15", J245&lt;=20, "16-20", J245&gt;20, "21+")</f>
        <v>0-5</v>
      </c>
      <c r="N245" s="4" t="str">
        <f t="shared" si="93"/>
        <v>NA</v>
      </c>
      <c r="O245" s="5">
        <v>1.1000000000000001</v>
      </c>
      <c r="P245" t="b">
        <v>0</v>
      </c>
      <c r="Q245" t="s">
        <v>54</v>
      </c>
      <c r="R245" s="1">
        <v>0.69</v>
      </c>
      <c r="S245" s="6">
        <f t="shared" si="120"/>
        <v>0.69</v>
      </c>
    </row>
    <row r="246" spans="1:19" ht="13.5" x14ac:dyDescent="0.25">
      <c r="A246" t="s">
        <v>732</v>
      </c>
      <c r="B246" t="s">
        <v>733</v>
      </c>
      <c r="C246" t="str">
        <f t="shared" si="118"/>
        <v>Monica Murphy</v>
      </c>
      <c r="D246" t="s">
        <v>21</v>
      </c>
      <c r="E246" s="3" t="str">
        <f t="shared" si="92"/>
        <v>Female</v>
      </c>
      <c r="F246" s="5">
        <v>35</v>
      </c>
      <c r="G246" t="s">
        <v>183</v>
      </c>
      <c r="H246" t="s">
        <v>39</v>
      </c>
      <c r="I246" t="s">
        <v>285</v>
      </c>
      <c r="J246" s="5">
        <v>10</v>
      </c>
      <c r="K246" s="3" t="str" cm="1">
        <f t="array" ref="K246">_xlfn.IFS(J246&lt;=5, "0-5", J246&lt;=10, "6-10", J246&lt;=15, "11-15", J246&lt;=20, "16-20", J246&gt;20, "21+")</f>
        <v>6-10</v>
      </c>
      <c r="L246">
        <v>50</v>
      </c>
      <c r="M246" s="4">
        <f t="shared" ref="M246:M248" si="121">L246</f>
        <v>50</v>
      </c>
      <c r="N246" s="4">
        <f t="shared" si="93"/>
        <v>50</v>
      </c>
      <c r="O246" s="5">
        <v>1.4</v>
      </c>
      <c r="P246" t="b">
        <v>1</v>
      </c>
      <c r="Q246" t="s">
        <v>28</v>
      </c>
      <c r="R246" s="1">
        <v>0.85</v>
      </c>
      <c r="S246" s="6">
        <f t="shared" si="120"/>
        <v>0.85</v>
      </c>
    </row>
    <row r="247" spans="1:19" ht="13.5" x14ac:dyDescent="0.25">
      <c r="A247" t="s">
        <v>734</v>
      </c>
      <c r="B247" t="s">
        <v>735</v>
      </c>
      <c r="C247" t="str">
        <f t="shared" si="118"/>
        <v>Kristen Williams</v>
      </c>
      <c r="D247" t="s">
        <v>37</v>
      </c>
      <c r="E247" s="3" t="str">
        <f t="shared" si="92"/>
        <v>Female</v>
      </c>
      <c r="F247" s="5">
        <v>47</v>
      </c>
      <c r="G247" t="s">
        <v>183</v>
      </c>
      <c r="H247" t="s">
        <v>39</v>
      </c>
      <c r="I247" t="s">
        <v>286</v>
      </c>
      <c r="J247" s="5">
        <v>18</v>
      </c>
      <c r="K247" s="3" t="str" cm="1">
        <f t="array" ref="K247">_xlfn.IFS(J247&lt;=5, "0-5", J247&lt;=10, "6-10", J247&lt;=15, "11-15", J247&lt;=20, "16-20", J247&gt;20, "21+")</f>
        <v>16-20</v>
      </c>
      <c r="L247">
        <v>40</v>
      </c>
      <c r="M247" s="4">
        <f t="shared" si="121"/>
        <v>40</v>
      </c>
      <c r="N247" s="4">
        <f t="shared" si="93"/>
        <v>40</v>
      </c>
      <c r="O247" s="5">
        <v>3.4</v>
      </c>
      <c r="P247">
        <v>0</v>
      </c>
      <c r="Q247" t="s">
        <v>54</v>
      </c>
      <c r="R247">
        <v>60</v>
      </c>
      <c r="S247" s="6">
        <f t="shared" ref="S247:S248" si="122">R247/100</f>
        <v>0.6</v>
      </c>
    </row>
    <row r="248" spans="1:19" ht="13.5" x14ac:dyDescent="0.25">
      <c r="A248" t="s">
        <v>736</v>
      </c>
      <c r="B248" t="s">
        <v>737</v>
      </c>
      <c r="C248" t="str">
        <f t="shared" si="118"/>
        <v>Nicole Wright</v>
      </c>
      <c r="D248" t="s">
        <v>37</v>
      </c>
      <c r="E248" s="3" t="str">
        <f t="shared" si="92"/>
        <v>Female</v>
      </c>
      <c r="F248" s="5">
        <v>41</v>
      </c>
      <c r="G248" t="s">
        <v>67</v>
      </c>
      <c r="H248" t="s">
        <v>68</v>
      </c>
      <c r="I248" t="s">
        <v>292</v>
      </c>
      <c r="J248" s="5">
        <v>4</v>
      </c>
      <c r="K248" s="3" t="str" cm="1">
        <f t="array" ref="K248">_xlfn.IFS(J248&lt;=5, "0-5", J248&lt;=10, "6-10", J248&lt;=15, "11-15", J248&lt;=20, "16-20", J248&gt;20, "21+")</f>
        <v>0-5</v>
      </c>
      <c r="L248">
        <v>40</v>
      </c>
      <c r="M248" s="4">
        <f t="shared" si="121"/>
        <v>40</v>
      </c>
      <c r="N248" s="4">
        <f t="shared" si="93"/>
        <v>40</v>
      </c>
      <c r="O248" s="5">
        <v>2.7</v>
      </c>
      <c r="P248">
        <v>1</v>
      </c>
      <c r="Q248" t="s">
        <v>28</v>
      </c>
      <c r="R248">
        <v>70</v>
      </c>
      <c r="S248" s="6">
        <f t="shared" si="122"/>
        <v>0.7</v>
      </c>
    </row>
    <row r="249" spans="1:19" ht="13.5" x14ac:dyDescent="0.25">
      <c r="A249" t="s">
        <v>738</v>
      </c>
      <c r="B249" t="s">
        <v>739</v>
      </c>
      <c r="C249" t="str">
        <f t="shared" si="118"/>
        <v>Andrew Ruiz</v>
      </c>
      <c r="D249" t="s">
        <v>31</v>
      </c>
      <c r="E249" s="3" t="str">
        <f t="shared" si="92"/>
        <v>Male</v>
      </c>
      <c r="F249" s="5">
        <v>58</v>
      </c>
      <c r="G249" t="s">
        <v>23</v>
      </c>
      <c r="H249" t="s">
        <v>24</v>
      </c>
      <c r="I249" t="s">
        <v>290</v>
      </c>
      <c r="J249" s="5">
        <v>23</v>
      </c>
      <c r="K249" s="3" t="str" cm="1">
        <f t="array" ref="K249">_xlfn.IFS(J249&lt;=5, "0-5", J249&lt;=10, "6-10", J249&lt;=15, "11-15", J249&lt;=20, "16-20", J249&gt;20, "21+")</f>
        <v>21+</v>
      </c>
      <c r="N249" s="4" t="str">
        <f t="shared" si="93"/>
        <v>NA</v>
      </c>
      <c r="O249" s="5">
        <v>4.9000000000000004</v>
      </c>
      <c r="P249" t="b">
        <v>0</v>
      </c>
      <c r="Q249" t="s">
        <v>54</v>
      </c>
      <c r="S249" s="7"/>
    </row>
    <row r="250" spans="1:19" ht="13.5" x14ac:dyDescent="0.25">
      <c r="A250" t="s">
        <v>740</v>
      </c>
      <c r="B250" t="s">
        <v>741</v>
      </c>
      <c r="C250" t="str">
        <f t="shared" si="118"/>
        <v>Zachary Jackson</v>
      </c>
      <c r="D250" t="s">
        <v>43</v>
      </c>
      <c r="E250" s="3" t="str">
        <f t="shared" si="92"/>
        <v>Male</v>
      </c>
      <c r="F250" s="5">
        <v>34</v>
      </c>
      <c r="G250" t="s">
        <v>165</v>
      </c>
      <c r="H250" t="s">
        <v>166</v>
      </c>
      <c r="I250" t="s">
        <v>291</v>
      </c>
      <c r="J250" s="5">
        <v>6</v>
      </c>
      <c r="K250" s="3" t="str" cm="1">
        <f t="array" ref="K250">_xlfn.IFS(J250&lt;=5, "0-5", J250&lt;=10, "6-10", J250&lt;=15, "11-15", J250&lt;=20, "16-20", J250&gt;20, "21+")</f>
        <v>6-10</v>
      </c>
      <c r="L250">
        <v>75</v>
      </c>
      <c r="M250" s="4">
        <f t="shared" ref="M250:M251" si="123">L250</f>
        <v>75</v>
      </c>
      <c r="N250" s="4">
        <f t="shared" si="93"/>
        <v>75</v>
      </c>
      <c r="O250" s="5">
        <v>1.9</v>
      </c>
      <c r="P250">
        <v>1</v>
      </c>
      <c r="Q250" t="s">
        <v>28</v>
      </c>
      <c r="R250" s="1">
        <v>0.81</v>
      </c>
      <c r="S250" s="6">
        <f>R250</f>
        <v>0.81</v>
      </c>
    </row>
    <row r="251" spans="1:19" ht="13.5" x14ac:dyDescent="0.25">
      <c r="A251" t="s">
        <v>742</v>
      </c>
      <c r="B251" t="s">
        <v>743</v>
      </c>
      <c r="C251" t="str">
        <f t="shared" si="118"/>
        <v>Stephanie Carter</v>
      </c>
      <c r="D251" t="s">
        <v>37</v>
      </c>
      <c r="E251" s="3" t="str">
        <f t="shared" si="92"/>
        <v>Female</v>
      </c>
      <c r="F251" s="5">
        <v>50</v>
      </c>
      <c r="G251" t="s">
        <v>146</v>
      </c>
      <c r="H251" t="s">
        <v>147</v>
      </c>
      <c r="I251" t="s">
        <v>285</v>
      </c>
      <c r="J251" s="5">
        <v>5</v>
      </c>
      <c r="K251" s="3" t="str" cm="1">
        <f t="array" ref="K251">_xlfn.IFS(J251&lt;=5, "0-5", J251&lt;=10, "6-10", J251&lt;=15, "11-15", J251&lt;=20, "16-20", J251&gt;20, "21+")</f>
        <v>0-5</v>
      </c>
      <c r="L251">
        <v>100</v>
      </c>
      <c r="M251" s="4">
        <f t="shared" si="123"/>
        <v>100</v>
      </c>
      <c r="N251" s="4">
        <f t="shared" si="93"/>
        <v>100</v>
      </c>
      <c r="P251">
        <v>1</v>
      </c>
      <c r="Q251" t="s">
        <v>28</v>
      </c>
      <c r="S251" s="7"/>
    </row>
    <row r="252" spans="1:19" ht="13.5" x14ac:dyDescent="0.25">
      <c r="A252" t="s">
        <v>744</v>
      </c>
      <c r="B252" t="s">
        <v>745</v>
      </c>
      <c r="C252" t="str">
        <f t="shared" si="118"/>
        <v>Amy Olson</v>
      </c>
      <c r="D252" t="s">
        <v>37</v>
      </c>
      <c r="E252" s="3" t="str">
        <f t="shared" si="92"/>
        <v>Female</v>
      </c>
      <c r="F252" s="5">
        <v>42</v>
      </c>
      <c r="G252" t="s">
        <v>44</v>
      </c>
      <c r="H252" t="s">
        <v>24</v>
      </c>
      <c r="I252" t="s">
        <v>283</v>
      </c>
      <c r="J252" s="5">
        <v>19</v>
      </c>
      <c r="K252" s="3" t="str" cm="1">
        <f t="array" ref="K252">_xlfn.IFS(J252&lt;=5, "0-5", J252&lt;=10, "6-10", J252&lt;=15, "11-15", J252&lt;=20, "16-20", J252&gt;20, "21+")</f>
        <v>16-20</v>
      </c>
      <c r="L252" t="s">
        <v>92</v>
      </c>
      <c r="M252" s="4" t="str">
        <f t="shared" ref="M252" si="124">_xlfn.TEXTAFTER(L252, " ")</f>
        <v>75</v>
      </c>
      <c r="N252" s="4">
        <f t="shared" si="93"/>
        <v>75</v>
      </c>
      <c r="O252" s="5">
        <v>4.5999999999999996</v>
      </c>
      <c r="P252">
        <v>0</v>
      </c>
      <c r="Q252" t="s">
        <v>54</v>
      </c>
      <c r="R252" s="1">
        <v>0.78</v>
      </c>
      <c r="S252" s="6">
        <f>R252</f>
        <v>0.78</v>
      </c>
    </row>
    <row r="253" spans="1:19" ht="13.5" x14ac:dyDescent="0.25">
      <c r="A253" t="s">
        <v>746</v>
      </c>
      <c r="B253" t="s">
        <v>747</v>
      </c>
      <c r="C253" t="str">
        <f t="shared" si="118"/>
        <v>Fred Stark</v>
      </c>
      <c r="D253" t="s">
        <v>328</v>
      </c>
      <c r="E253" s="3" t="str">
        <f t="shared" si="92"/>
        <v>Male</v>
      </c>
      <c r="F253" s="5">
        <v>43</v>
      </c>
      <c r="G253" t="s">
        <v>33</v>
      </c>
      <c r="H253" t="s">
        <v>34</v>
      </c>
      <c r="I253" t="s">
        <v>286</v>
      </c>
      <c r="J253" s="5">
        <v>6</v>
      </c>
      <c r="K253" s="3" t="str" cm="1">
        <f t="array" ref="K253">_xlfn.IFS(J253&lt;=5, "0-5", J253&lt;=10, "6-10", J253&lt;=15, "11-15", J253&lt;=20, "16-20", J253&gt;20, "21+")</f>
        <v>6-10</v>
      </c>
      <c r="L253">
        <v>50</v>
      </c>
      <c r="M253" s="4">
        <f t="shared" ref="M253:M256" si="125">L253</f>
        <v>50</v>
      </c>
      <c r="N253" s="4">
        <f t="shared" si="93"/>
        <v>50</v>
      </c>
      <c r="O253" s="5">
        <v>0</v>
      </c>
      <c r="P253">
        <v>0</v>
      </c>
      <c r="Q253" t="s">
        <v>54</v>
      </c>
      <c r="R253">
        <v>81</v>
      </c>
      <c r="S253" s="6">
        <f>R253/100</f>
        <v>0.81</v>
      </c>
    </row>
    <row r="254" spans="1:19" ht="13.5" x14ac:dyDescent="0.25">
      <c r="A254" t="s">
        <v>748</v>
      </c>
      <c r="B254" t="s">
        <v>749</v>
      </c>
      <c r="C254" t="str">
        <f t="shared" si="118"/>
        <v>Jacob Gill</v>
      </c>
      <c r="D254" t="s">
        <v>32</v>
      </c>
      <c r="E254" s="3" t="str">
        <f t="shared" si="92"/>
        <v>Male</v>
      </c>
      <c r="F254" s="5">
        <v>34</v>
      </c>
      <c r="G254" t="s">
        <v>33</v>
      </c>
      <c r="H254" t="s">
        <v>34</v>
      </c>
      <c r="I254" t="s">
        <v>291</v>
      </c>
      <c r="J254" s="5">
        <v>8</v>
      </c>
      <c r="K254" s="3" t="str" cm="1">
        <f t="array" ref="K254">_xlfn.IFS(J254&lt;=5, "0-5", J254&lt;=10, "6-10", J254&lt;=15, "11-15", J254&lt;=20, "16-20", J254&gt;20, "21+")</f>
        <v>6-10</v>
      </c>
      <c r="L254">
        <v>75</v>
      </c>
      <c r="M254" s="4">
        <f t="shared" si="125"/>
        <v>75</v>
      </c>
      <c r="N254" s="4">
        <f t="shared" si="93"/>
        <v>75</v>
      </c>
      <c r="O254" s="5">
        <v>1.8</v>
      </c>
      <c r="P254">
        <v>1</v>
      </c>
      <c r="Q254" t="s">
        <v>28</v>
      </c>
      <c r="R254" s="1">
        <v>0.71</v>
      </c>
      <c r="S254" s="6">
        <f>R254</f>
        <v>0.71</v>
      </c>
    </row>
    <row r="255" spans="1:19" ht="13.5" x14ac:dyDescent="0.25">
      <c r="A255" t="s">
        <v>750</v>
      </c>
      <c r="B255" t="s">
        <v>751</v>
      </c>
      <c r="C255" t="str">
        <f t="shared" si="118"/>
        <v>Anthony Nichols</v>
      </c>
      <c r="D255" t="s">
        <v>32</v>
      </c>
      <c r="E255" s="3" t="str">
        <f t="shared" si="92"/>
        <v>Male</v>
      </c>
      <c r="F255" s="5">
        <v>24</v>
      </c>
      <c r="G255" t="s">
        <v>84</v>
      </c>
      <c r="H255" t="s">
        <v>24</v>
      </c>
      <c r="I255" t="s">
        <v>285</v>
      </c>
      <c r="J255" s="5">
        <v>3</v>
      </c>
      <c r="K255" s="3" t="str" cm="1">
        <f t="array" ref="K255">_xlfn.IFS(J255&lt;=5, "0-5", J255&lt;=10, "6-10", J255&lt;=15, "11-15", J255&lt;=20, "16-20", J255&gt;20, "21+")</f>
        <v>0-5</v>
      </c>
      <c r="L255">
        <v>75</v>
      </c>
      <c r="M255" s="4">
        <f t="shared" si="125"/>
        <v>75</v>
      </c>
      <c r="N255" s="4">
        <f t="shared" si="93"/>
        <v>75</v>
      </c>
      <c r="O255" s="5">
        <v>2</v>
      </c>
      <c r="P255" t="b">
        <v>0</v>
      </c>
      <c r="Q255" t="s">
        <v>54</v>
      </c>
      <c r="S255" s="7"/>
    </row>
    <row r="256" spans="1:19" ht="13.5" x14ac:dyDescent="0.25">
      <c r="A256" t="s">
        <v>752</v>
      </c>
      <c r="B256" t="s">
        <v>753</v>
      </c>
      <c r="C256" t="str">
        <f t="shared" si="118"/>
        <v>William Knapp</v>
      </c>
      <c r="D256" t="s">
        <v>43</v>
      </c>
      <c r="E256" s="3" t="str">
        <f t="shared" si="92"/>
        <v>Male</v>
      </c>
      <c r="F256" s="5">
        <v>48</v>
      </c>
      <c r="G256" t="s">
        <v>177</v>
      </c>
      <c r="H256" t="s">
        <v>178</v>
      </c>
      <c r="I256" t="s">
        <v>286</v>
      </c>
      <c r="J256" s="5">
        <v>8</v>
      </c>
      <c r="K256" s="3" t="str" cm="1">
        <f t="array" ref="K256">_xlfn.IFS(J256&lt;=5, "0-5", J256&lt;=10, "6-10", J256&lt;=15, "11-15", J256&lt;=20, "16-20", J256&gt;20, "21+")</f>
        <v>6-10</v>
      </c>
      <c r="L256">
        <v>30</v>
      </c>
      <c r="M256" s="4">
        <f t="shared" si="125"/>
        <v>30</v>
      </c>
      <c r="N256" s="4">
        <f t="shared" si="93"/>
        <v>30</v>
      </c>
      <c r="O256" s="5">
        <v>5</v>
      </c>
      <c r="P256">
        <v>1</v>
      </c>
      <c r="Q256" t="s">
        <v>28</v>
      </c>
      <c r="R256" s="1">
        <v>0.99</v>
      </c>
      <c r="S256" s="6">
        <f t="shared" ref="S256:S259" si="126">R256</f>
        <v>0.99</v>
      </c>
    </row>
    <row r="257" spans="1:19" ht="13.5" x14ac:dyDescent="0.25">
      <c r="A257" t="s">
        <v>754</v>
      </c>
      <c r="B257" t="s">
        <v>755</v>
      </c>
      <c r="C257" t="str">
        <f t="shared" si="118"/>
        <v>Elizabeth Walker</v>
      </c>
      <c r="D257" t="s">
        <v>301</v>
      </c>
      <c r="E257" s="3" t="str">
        <f t="shared" si="92"/>
        <v>Female</v>
      </c>
      <c r="F257" s="5">
        <v>39</v>
      </c>
      <c r="G257" t="s">
        <v>62</v>
      </c>
      <c r="H257" t="s">
        <v>63</v>
      </c>
      <c r="I257" t="s">
        <v>291</v>
      </c>
      <c r="J257" s="5">
        <v>12</v>
      </c>
      <c r="K257" s="3" t="str" cm="1">
        <f t="array" ref="K257">_xlfn.IFS(J257&lt;=5, "0-5", J257&lt;=10, "6-10", J257&lt;=15, "11-15", J257&lt;=20, "16-20", J257&gt;20, "21+")</f>
        <v>11-15</v>
      </c>
      <c r="L257" s="2">
        <v>20</v>
      </c>
      <c r="M257" s="4" t="str">
        <f t="shared" ref="M257:M258" si="127">SUBSTITUTE(L257, "$","")</f>
        <v>20</v>
      </c>
      <c r="N257" s="4">
        <f t="shared" si="93"/>
        <v>20</v>
      </c>
      <c r="O257" s="5">
        <v>3.2</v>
      </c>
      <c r="P257" t="b">
        <v>1</v>
      </c>
      <c r="Q257" t="s">
        <v>28</v>
      </c>
      <c r="R257" s="1">
        <v>0.66</v>
      </c>
      <c r="S257" s="6">
        <f t="shared" si="126"/>
        <v>0.66</v>
      </c>
    </row>
    <row r="258" spans="1:19" ht="13.5" x14ac:dyDescent="0.25">
      <c r="A258" t="s">
        <v>756</v>
      </c>
      <c r="B258" t="s">
        <v>757</v>
      </c>
      <c r="C258" t="str">
        <f t="shared" si="118"/>
        <v>Brenda Reeves</v>
      </c>
      <c r="D258" t="s">
        <v>301</v>
      </c>
      <c r="E258" s="3" t="str">
        <f t="shared" si="92"/>
        <v>Female</v>
      </c>
      <c r="F258" s="5">
        <v>57</v>
      </c>
      <c r="G258" t="s">
        <v>38</v>
      </c>
      <c r="H258" t="s">
        <v>39</v>
      </c>
      <c r="I258" t="s">
        <v>292</v>
      </c>
      <c r="J258" s="5">
        <v>30</v>
      </c>
      <c r="K258" s="3" t="str" cm="1">
        <f t="array" ref="K258">_xlfn.IFS(J258&lt;=5, "0-5", J258&lt;=10, "6-10", J258&lt;=15, "11-15", J258&lt;=20, "16-20", J258&gt;20, "21+")</f>
        <v>21+</v>
      </c>
      <c r="L258" s="2">
        <v>30</v>
      </c>
      <c r="M258" s="4" t="str">
        <f t="shared" si="127"/>
        <v>30</v>
      </c>
      <c r="N258" s="4">
        <f t="shared" si="93"/>
        <v>30</v>
      </c>
      <c r="O258" s="5">
        <v>2.4</v>
      </c>
      <c r="R258" s="1">
        <v>0.8</v>
      </c>
      <c r="S258" s="6">
        <f t="shared" si="126"/>
        <v>0.8</v>
      </c>
    </row>
    <row r="259" spans="1:19" ht="13.5" x14ac:dyDescent="0.25">
      <c r="A259" t="s">
        <v>758</v>
      </c>
      <c r="B259" t="s">
        <v>759</v>
      </c>
      <c r="C259" t="str">
        <f t="shared" si="118"/>
        <v>Carrie Little</v>
      </c>
      <c r="D259" t="s">
        <v>21</v>
      </c>
      <c r="E259" s="3" t="str">
        <f t="shared" ref="E259:E322" si="128">IF(LOWER(LEFT(D259,1)) = "f", "Female", "Male")</f>
        <v>Female</v>
      </c>
      <c r="F259" s="5">
        <v>44</v>
      </c>
      <c r="G259" t="s">
        <v>125</v>
      </c>
      <c r="H259" t="s">
        <v>39</v>
      </c>
      <c r="I259" t="s">
        <v>290</v>
      </c>
      <c r="J259" s="5">
        <v>21</v>
      </c>
      <c r="K259" s="3" t="str" cm="1">
        <f t="array" ref="K259">_xlfn.IFS(J259&lt;=5, "0-5", J259&lt;=10, "6-10", J259&lt;=15, "11-15", J259&lt;=20, "16-20", J259&gt;20, "21+")</f>
        <v>21+</v>
      </c>
      <c r="L259">
        <v>100</v>
      </c>
      <c r="M259" s="4">
        <f>L259</f>
        <v>100</v>
      </c>
      <c r="N259" s="4">
        <f t="shared" ref="N259:N322" si="129">IF(M259="","NA",ROUND(M259,0))</f>
        <v>100</v>
      </c>
      <c r="O259" s="5">
        <v>2.9</v>
      </c>
      <c r="P259">
        <v>0</v>
      </c>
      <c r="Q259" t="s">
        <v>54</v>
      </c>
      <c r="R259" s="1">
        <v>0.83</v>
      </c>
      <c r="S259" s="6">
        <f t="shared" si="126"/>
        <v>0.83</v>
      </c>
    </row>
    <row r="260" spans="1:19" ht="13.5" x14ac:dyDescent="0.25">
      <c r="A260" t="s">
        <v>760</v>
      </c>
      <c r="B260" t="s">
        <v>761</v>
      </c>
      <c r="C260" t="str">
        <f t="shared" si="118"/>
        <v>Steven Jackson</v>
      </c>
      <c r="D260" t="s">
        <v>31</v>
      </c>
      <c r="E260" s="3" t="str">
        <f t="shared" si="128"/>
        <v>Male</v>
      </c>
      <c r="F260" s="5">
        <v>37</v>
      </c>
      <c r="G260" t="s">
        <v>47</v>
      </c>
      <c r="H260" t="s">
        <v>48</v>
      </c>
      <c r="I260" t="s">
        <v>286</v>
      </c>
      <c r="J260" s="5">
        <v>17</v>
      </c>
      <c r="K260" s="3" t="str" cm="1">
        <f t="array" ref="K260">_xlfn.IFS(J260&lt;=5, "0-5", J260&lt;=10, "6-10", J260&lt;=15, "11-15", J260&lt;=20, "16-20", J260&gt;20, "21+")</f>
        <v>16-20</v>
      </c>
      <c r="L260" t="s">
        <v>78</v>
      </c>
      <c r="M260" s="4" t="str">
        <f t="shared" ref="M260" si="130">_xlfn.TEXTAFTER(L260, " ")</f>
        <v>20</v>
      </c>
      <c r="N260" s="4">
        <f t="shared" si="129"/>
        <v>20</v>
      </c>
      <c r="O260" s="5">
        <v>0</v>
      </c>
      <c r="P260" t="s">
        <v>27</v>
      </c>
      <c r="Q260" t="s">
        <v>28</v>
      </c>
      <c r="R260">
        <v>87</v>
      </c>
      <c r="S260" s="6">
        <f t="shared" ref="S260:S261" si="131">R260/100</f>
        <v>0.87</v>
      </c>
    </row>
    <row r="261" spans="1:19" ht="13.5" x14ac:dyDescent="0.25">
      <c r="A261" t="s">
        <v>762</v>
      </c>
      <c r="B261" t="s">
        <v>763</v>
      </c>
      <c r="C261" t="str">
        <f t="shared" si="118"/>
        <v>Mark Perry</v>
      </c>
      <c r="D261" t="s">
        <v>32</v>
      </c>
      <c r="E261" s="3" t="str">
        <f t="shared" si="128"/>
        <v>Male</v>
      </c>
      <c r="F261" s="5">
        <v>50</v>
      </c>
      <c r="G261" t="s">
        <v>67</v>
      </c>
      <c r="H261" t="s">
        <v>68</v>
      </c>
      <c r="I261" t="s">
        <v>291</v>
      </c>
      <c r="J261" s="5">
        <v>9</v>
      </c>
      <c r="K261" s="3" t="str" cm="1">
        <f t="array" ref="K261">_xlfn.IFS(J261&lt;=5, "0-5", J261&lt;=10, "6-10", J261&lt;=15, "11-15", J261&lt;=20, "16-20", J261&gt;20, "21+")</f>
        <v>6-10</v>
      </c>
      <c r="L261">
        <v>30</v>
      </c>
      <c r="M261" s="4">
        <f t="shared" ref="M261:M263" si="132">L261</f>
        <v>30</v>
      </c>
      <c r="N261" s="4">
        <f t="shared" si="129"/>
        <v>30</v>
      </c>
      <c r="O261" s="5">
        <v>3</v>
      </c>
      <c r="P261">
        <v>0</v>
      </c>
      <c r="Q261" t="s">
        <v>54</v>
      </c>
      <c r="R261">
        <v>76</v>
      </c>
      <c r="S261" s="6">
        <f t="shared" si="131"/>
        <v>0.76</v>
      </c>
    </row>
    <row r="262" spans="1:19" ht="13.5" x14ac:dyDescent="0.25">
      <c r="A262" t="s">
        <v>764</v>
      </c>
      <c r="B262" t="s">
        <v>765</v>
      </c>
      <c r="C262" t="str">
        <f t="shared" si="118"/>
        <v>Cameron Spencer</v>
      </c>
      <c r="D262" t="s">
        <v>32</v>
      </c>
      <c r="E262" s="3" t="str">
        <f t="shared" si="128"/>
        <v>Male</v>
      </c>
      <c r="F262" s="5">
        <v>50</v>
      </c>
      <c r="G262" t="s">
        <v>84</v>
      </c>
      <c r="H262" t="s">
        <v>24</v>
      </c>
      <c r="I262" t="s">
        <v>286</v>
      </c>
      <c r="J262" s="5">
        <v>2</v>
      </c>
      <c r="K262" s="3" t="str" cm="1">
        <f t="array" ref="K262">_xlfn.IFS(J262&lt;=5, "0-5", J262&lt;=10, "6-10", J262&lt;=15, "11-15", J262&lt;=20, "16-20", J262&gt;20, "21+")</f>
        <v>0-5</v>
      </c>
      <c r="L262">
        <v>50</v>
      </c>
      <c r="M262" s="4">
        <f t="shared" si="132"/>
        <v>50</v>
      </c>
      <c r="N262" s="4">
        <f t="shared" si="129"/>
        <v>50</v>
      </c>
      <c r="O262" s="5">
        <v>1.6</v>
      </c>
      <c r="P262" t="s">
        <v>81</v>
      </c>
      <c r="Q262" t="s">
        <v>54</v>
      </c>
      <c r="R262" s="1">
        <v>0.89</v>
      </c>
      <c r="S262" s="6">
        <f t="shared" ref="S262:S268" si="133">R262</f>
        <v>0.89</v>
      </c>
    </row>
    <row r="263" spans="1:19" ht="13.5" x14ac:dyDescent="0.25">
      <c r="A263" t="s">
        <v>766</v>
      </c>
      <c r="B263" t="s">
        <v>767</v>
      </c>
      <c r="C263" t="str">
        <f t="shared" si="118"/>
        <v>Jennifer Holmes</v>
      </c>
      <c r="D263" t="s">
        <v>22</v>
      </c>
      <c r="E263" s="3" t="str">
        <f t="shared" si="128"/>
        <v>Female</v>
      </c>
      <c r="F263" s="5">
        <v>28</v>
      </c>
      <c r="G263" t="s">
        <v>132</v>
      </c>
      <c r="H263" t="s">
        <v>133</v>
      </c>
      <c r="I263" t="s">
        <v>287</v>
      </c>
      <c r="J263" s="5">
        <v>1</v>
      </c>
      <c r="K263" s="3" t="str" cm="1">
        <f t="array" ref="K263">_xlfn.IFS(J263&lt;=5, "0-5", J263&lt;=10, "6-10", J263&lt;=15, "11-15", J263&lt;=20, "16-20", J263&gt;20, "21+")</f>
        <v>0-5</v>
      </c>
      <c r="L263">
        <v>20</v>
      </c>
      <c r="M263" s="4">
        <f t="shared" si="132"/>
        <v>20</v>
      </c>
      <c r="N263" s="4">
        <f t="shared" si="129"/>
        <v>20</v>
      </c>
      <c r="O263" s="5">
        <v>3.6</v>
      </c>
      <c r="P263" t="s">
        <v>27</v>
      </c>
      <c r="Q263" t="s">
        <v>28</v>
      </c>
      <c r="R263" s="1">
        <v>0.94</v>
      </c>
      <c r="S263" s="6">
        <f t="shared" si="133"/>
        <v>0.94</v>
      </c>
    </row>
    <row r="264" spans="1:19" ht="13.5" x14ac:dyDescent="0.25">
      <c r="A264" t="s">
        <v>768</v>
      </c>
      <c r="B264" t="s">
        <v>769</v>
      </c>
      <c r="C264" t="str">
        <f t="shared" si="118"/>
        <v>Jacob Joseph</v>
      </c>
      <c r="D264" t="s">
        <v>32</v>
      </c>
      <c r="E264" s="3" t="str">
        <f t="shared" si="128"/>
        <v>Male</v>
      </c>
      <c r="F264" s="5">
        <v>48</v>
      </c>
      <c r="G264" t="s">
        <v>253</v>
      </c>
      <c r="H264" t="s">
        <v>254</v>
      </c>
      <c r="I264" t="s">
        <v>290</v>
      </c>
      <c r="J264" s="5">
        <v>23</v>
      </c>
      <c r="K264" s="3" t="str" cm="1">
        <f t="array" ref="K264">_xlfn.IFS(J264&lt;=5, "0-5", J264&lt;=10, "6-10", J264&lt;=15, "11-15", J264&lt;=20, "16-20", J264&gt;20, "21+")</f>
        <v>21+</v>
      </c>
      <c r="N264" s="4" t="str">
        <f t="shared" si="129"/>
        <v>NA</v>
      </c>
      <c r="O264" s="5">
        <v>2.1</v>
      </c>
      <c r="P264">
        <v>0</v>
      </c>
      <c r="Q264" t="s">
        <v>54</v>
      </c>
      <c r="R264" s="1">
        <v>0.68</v>
      </c>
      <c r="S264" s="6">
        <f t="shared" si="133"/>
        <v>0.68</v>
      </c>
    </row>
    <row r="265" spans="1:19" ht="13.5" x14ac:dyDescent="0.25">
      <c r="A265" t="s">
        <v>770</v>
      </c>
      <c r="B265" t="s">
        <v>771</v>
      </c>
      <c r="C265" t="str">
        <f t="shared" si="118"/>
        <v>Jeffery Tucker</v>
      </c>
      <c r="D265" t="s">
        <v>32</v>
      </c>
      <c r="E265" s="3" t="str">
        <f t="shared" si="128"/>
        <v>Male</v>
      </c>
      <c r="F265" s="5">
        <v>42</v>
      </c>
      <c r="G265" t="s">
        <v>33</v>
      </c>
      <c r="H265" t="s">
        <v>34</v>
      </c>
      <c r="I265" t="s">
        <v>283</v>
      </c>
      <c r="J265" s="5">
        <v>8</v>
      </c>
      <c r="K265" s="3" t="str" cm="1">
        <f t="array" ref="K265">_xlfn.IFS(J265&lt;=5, "0-5", J265&lt;=10, "6-10", J265&lt;=15, "11-15", J265&lt;=20, "16-20", J265&gt;20, "21+")</f>
        <v>6-10</v>
      </c>
      <c r="L265">
        <v>30</v>
      </c>
      <c r="M265" s="4">
        <f>L265</f>
        <v>30</v>
      </c>
      <c r="N265" s="4">
        <f t="shared" si="129"/>
        <v>30</v>
      </c>
      <c r="O265" s="5">
        <v>3.6</v>
      </c>
      <c r="P265">
        <v>1</v>
      </c>
      <c r="Q265" t="s">
        <v>28</v>
      </c>
      <c r="R265" s="1">
        <v>0.96</v>
      </c>
      <c r="S265" s="6">
        <f t="shared" si="133"/>
        <v>0.96</v>
      </c>
    </row>
    <row r="266" spans="1:19" ht="13.5" x14ac:dyDescent="0.25">
      <c r="A266" t="s">
        <v>772</v>
      </c>
      <c r="B266" t="s">
        <v>773</v>
      </c>
      <c r="C266" t="str">
        <f t="shared" si="118"/>
        <v>Jacqueline Drake</v>
      </c>
      <c r="D266" t="s">
        <v>22</v>
      </c>
      <c r="E266" s="3" t="str">
        <f t="shared" si="128"/>
        <v>Female</v>
      </c>
      <c r="F266" s="5">
        <v>37</v>
      </c>
      <c r="G266" t="s">
        <v>125</v>
      </c>
      <c r="H266" t="s">
        <v>39</v>
      </c>
      <c r="I266" t="s">
        <v>291</v>
      </c>
      <c r="J266" s="5">
        <v>6</v>
      </c>
      <c r="K266" s="3" t="str" cm="1">
        <f t="array" ref="K266">_xlfn.IFS(J266&lt;=5, "0-5", J266&lt;=10, "6-10", J266&lt;=15, "11-15", J266&lt;=20, "16-20", J266&gt;20, "21+")</f>
        <v>6-10</v>
      </c>
      <c r="L266" s="2">
        <v>20</v>
      </c>
      <c r="M266" s="4" t="str">
        <f>SUBSTITUTE(L266, "$","")</f>
        <v>20</v>
      </c>
      <c r="N266" s="4">
        <f t="shared" si="129"/>
        <v>20</v>
      </c>
      <c r="O266" s="5">
        <v>2.7</v>
      </c>
      <c r="P266" t="b">
        <v>1</v>
      </c>
      <c r="Q266" t="s">
        <v>28</v>
      </c>
      <c r="R266" s="1">
        <v>0.91</v>
      </c>
      <c r="S266" s="6">
        <f t="shared" si="133"/>
        <v>0.91</v>
      </c>
    </row>
    <row r="267" spans="1:19" ht="13.5" x14ac:dyDescent="0.25">
      <c r="A267" t="s">
        <v>774</v>
      </c>
      <c r="B267" t="s">
        <v>775</v>
      </c>
      <c r="C267" t="str">
        <f t="shared" si="118"/>
        <v>Brian Bautista</v>
      </c>
      <c r="D267" t="s">
        <v>32</v>
      </c>
      <c r="E267" s="3" t="str">
        <f t="shared" si="128"/>
        <v>Male</v>
      </c>
      <c r="F267" s="5">
        <v>21</v>
      </c>
      <c r="G267" t="s">
        <v>146</v>
      </c>
      <c r="H267" t="s">
        <v>147</v>
      </c>
      <c r="I267" t="s">
        <v>292</v>
      </c>
      <c r="J267" s="5">
        <v>1</v>
      </c>
      <c r="K267" s="3" t="str" cm="1">
        <f t="array" ref="K267">_xlfn.IFS(J267&lt;=5, "0-5", J267&lt;=10, "6-10", J267&lt;=15, "11-15", J267&lt;=20, "16-20", J267&gt;20, "21+")</f>
        <v>0-5</v>
      </c>
      <c r="L267">
        <v>100</v>
      </c>
      <c r="M267" s="4">
        <f>L267</f>
        <v>100</v>
      </c>
      <c r="N267" s="4">
        <f t="shared" si="129"/>
        <v>100</v>
      </c>
      <c r="O267" s="5">
        <v>2.1</v>
      </c>
      <c r="P267">
        <v>1</v>
      </c>
      <c r="Q267" t="s">
        <v>28</v>
      </c>
      <c r="R267" s="1">
        <v>0.92</v>
      </c>
      <c r="S267" s="6">
        <f t="shared" si="133"/>
        <v>0.92</v>
      </c>
    </row>
    <row r="268" spans="1:19" ht="13.5" x14ac:dyDescent="0.25">
      <c r="A268" t="s">
        <v>776</v>
      </c>
      <c r="B268" t="s">
        <v>777</v>
      </c>
      <c r="C268" t="str">
        <f t="shared" si="118"/>
        <v>Dakota Wells</v>
      </c>
      <c r="D268" t="s">
        <v>311</v>
      </c>
      <c r="E268" s="3" t="str">
        <f t="shared" si="128"/>
        <v>Male</v>
      </c>
      <c r="F268" s="5">
        <v>50</v>
      </c>
      <c r="G268" t="s">
        <v>62</v>
      </c>
      <c r="H268" t="s">
        <v>63</v>
      </c>
      <c r="I268" t="s">
        <v>290</v>
      </c>
      <c r="J268" s="5">
        <v>19</v>
      </c>
      <c r="K268" s="3" t="str" cm="1">
        <f t="array" ref="K268">_xlfn.IFS(J268&lt;=5, "0-5", J268&lt;=10, "6-10", J268&lt;=15, "11-15", J268&lt;=20, "16-20", J268&gt;20, "21+")</f>
        <v>16-20</v>
      </c>
      <c r="L268" s="2">
        <v>40</v>
      </c>
      <c r="M268" s="4" t="str">
        <f>SUBSTITUTE(L268, "$","")</f>
        <v>40</v>
      </c>
      <c r="N268" s="4">
        <f t="shared" si="129"/>
        <v>40</v>
      </c>
      <c r="O268" s="5">
        <v>4.9000000000000004</v>
      </c>
      <c r="R268" s="1">
        <v>0.82</v>
      </c>
      <c r="S268" s="6">
        <f t="shared" si="133"/>
        <v>0.82</v>
      </c>
    </row>
    <row r="269" spans="1:19" ht="13.5" x14ac:dyDescent="0.25">
      <c r="A269" t="s">
        <v>259</v>
      </c>
      <c r="B269" t="s">
        <v>260</v>
      </c>
      <c r="C269" t="str">
        <f t="shared" si="118"/>
        <v>Julie White</v>
      </c>
      <c r="D269" t="s">
        <v>301</v>
      </c>
      <c r="E269" s="3" t="str">
        <f t="shared" si="128"/>
        <v>Female</v>
      </c>
      <c r="F269" s="5">
        <v>22</v>
      </c>
      <c r="G269" t="s">
        <v>23</v>
      </c>
      <c r="H269" t="s">
        <v>24</v>
      </c>
      <c r="I269" t="s">
        <v>25</v>
      </c>
      <c r="J269" s="5">
        <v>2</v>
      </c>
      <c r="K269" s="3" t="str" cm="1">
        <f t="array" ref="K269">_xlfn.IFS(J269&lt;=5, "0-5", J269&lt;=10, "6-10", J269&lt;=15, "11-15", J269&lt;=20, "16-20", J269&gt;20, "21+")</f>
        <v>0-5</v>
      </c>
      <c r="L269">
        <v>30</v>
      </c>
      <c r="M269" s="4">
        <f t="shared" ref="M269:M270" si="134">L269</f>
        <v>30</v>
      </c>
      <c r="N269" s="4">
        <f t="shared" si="129"/>
        <v>30</v>
      </c>
      <c r="O269" s="5">
        <v>2.1</v>
      </c>
      <c r="S269" s="7"/>
    </row>
    <row r="270" spans="1:19" ht="13.5" x14ac:dyDescent="0.25">
      <c r="A270" t="s">
        <v>778</v>
      </c>
      <c r="B270" t="s">
        <v>779</v>
      </c>
      <c r="C270" t="str">
        <f t="shared" si="118"/>
        <v>Barbara Keith</v>
      </c>
      <c r="D270" t="s">
        <v>22</v>
      </c>
      <c r="E270" s="3" t="str">
        <f t="shared" si="128"/>
        <v>Female</v>
      </c>
      <c r="F270" s="5">
        <v>39</v>
      </c>
      <c r="G270" t="s">
        <v>88</v>
      </c>
      <c r="H270" t="s">
        <v>89</v>
      </c>
      <c r="I270" t="s">
        <v>290</v>
      </c>
      <c r="J270" s="5">
        <v>21</v>
      </c>
      <c r="K270" s="3" t="str" cm="1">
        <f t="array" ref="K270">_xlfn.IFS(J270&lt;=5, "0-5", J270&lt;=10, "6-10", J270&lt;=15, "11-15", J270&lt;=20, "16-20", J270&gt;20, "21+")</f>
        <v>21+</v>
      </c>
      <c r="L270">
        <v>100</v>
      </c>
      <c r="M270" s="4">
        <f t="shared" si="134"/>
        <v>100</v>
      </c>
      <c r="N270" s="4">
        <f t="shared" si="129"/>
        <v>100</v>
      </c>
      <c r="O270" s="5">
        <v>0</v>
      </c>
      <c r="P270" t="s">
        <v>81</v>
      </c>
      <c r="Q270" t="s">
        <v>54</v>
      </c>
      <c r="R270" s="1">
        <v>0.91</v>
      </c>
      <c r="S270" s="6">
        <f>R270</f>
        <v>0.91</v>
      </c>
    </row>
    <row r="271" spans="1:19" ht="13.5" x14ac:dyDescent="0.25">
      <c r="A271" t="s">
        <v>780</v>
      </c>
      <c r="B271" t="s">
        <v>781</v>
      </c>
      <c r="C271" t="str">
        <f t="shared" si="118"/>
        <v>Heather Camacho</v>
      </c>
      <c r="D271" t="s">
        <v>22</v>
      </c>
      <c r="E271" s="3" t="str">
        <f t="shared" si="128"/>
        <v>Female</v>
      </c>
      <c r="F271" s="5">
        <v>25</v>
      </c>
      <c r="G271" t="s">
        <v>88</v>
      </c>
      <c r="H271" t="s">
        <v>89</v>
      </c>
      <c r="I271" t="s">
        <v>284</v>
      </c>
      <c r="J271" s="5">
        <v>3</v>
      </c>
      <c r="K271" s="3" t="str" cm="1">
        <f t="array" ref="K271">_xlfn.IFS(J271&lt;=5, "0-5", J271&lt;=10, "6-10", J271&lt;=15, "11-15", J271&lt;=20, "16-20", J271&gt;20, "21+")</f>
        <v>0-5</v>
      </c>
      <c r="L271" s="2">
        <v>50</v>
      </c>
      <c r="M271" s="4" t="str">
        <f>SUBSTITUTE(L271, "$","")</f>
        <v>50</v>
      </c>
      <c r="N271" s="4">
        <f t="shared" si="129"/>
        <v>50</v>
      </c>
      <c r="O271" s="5">
        <v>2.8</v>
      </c>
      <c r="P271" t="s">
        <v>27</v>
      </c>
      <c r="Q271" t="s">
        <v>28</v>
      </c>
      <c r="R271">
        <v>86</v>
      </c>
      <c r="S271" s="6">
        <f>R271/100</f>
        <v>0.86</v>
      </c>
    </row>
    <row r="272" spans="1:19" ht="13.5" x14ac:dyDescent="0.25">
      <c r="A272" t="s">
        <v>782</v>
      </c>
      <c r="B272" t="s">
        <v>783</v>
      </c>
      <c r="C272" t="str">
        <f t="shared" si="118"/>
        <v>Melanie Harris</v>
      </c>
      <c r="D272" t="s">
        <v>21</v>
      </c>
      <c r="E272" s="3" t="str">
        <f t="shared" si="128"/>
        <v>Female</v>
      </c>
      <c r="F272" s="5">
        <v>47</v>
      </c>
      <c r="G272" t="s">
        <v>177</v>
      </c>
      <c r="H272" t="s">
        <v>178</v>
      </c>
      <c r="I272" t="s">
        <v>285</v>
      </c>
      <c r="J272" s="5">
        <v>14</v>
      </c>
      <c r="K272" s="3" t="str" cm="1">
        <f t="array" ref="K272">_xlfn.IFS(J272&lt;=5, "0-5", J272&lt;=10, "6-10", J272&lt;=15, "11-15", J272&lt;=20, "16-20", J272&gt;20, "21+")</f>
        <v>11-15</v>
      </c>
      <c r="N272" s="4" t="str">
        <f t="shared" si="129"/>
        <v>NA</v>
      </c>
      <c r="P272" t="b">
        <v>0</v>
      </c>
      <c r="Q272" t="s">
        <v>54</v>
      </c>
      <c r="R272" s="1">
        <v>0.69</v>
      </c>
      <c r="S272" s="6">
        <f t="shared" ref="S272:S279" si="135">R272</f>
        <v>0.69</v>
      </c>
    </row>
    <row r="273" spans="1:19" ht="13.5" x14ac:dyDescent="0.25">
      <c r="A273" t="s">
        <v>784</v>
      </c>
      <c r="B273" t="s">
        <v>785</v>
      </c>
      <c r="C273" t="str">
        <f t="shared" si="118"/>
        <v>Jacqueline Peterson</v>
      </c>
      <c r="D273" t="s">
        <v>37</v>
      </c>
      <c r="E273" s="3" t="str">
        <f t="shared" si="128"/>
        <v>Female</v>
      </c>
      <c r="F273" s="5">
        <v>35</v>
      </c>
      <c r="G273" t="s">
        <v>177</v>
      </c>
      <c r="H273" t="s">
        <v>178</v>
      </c>
      <c r="I273" t="s">
        <v>286</v>
      </c>
      <c r="J273" s="5">
        <v>10</v>
      </c>
      <c r="K273" s="3" t="str" cm="1">
        <f t="array" ref="K273">_xlfn.IFS(J273&lt;=5, "0-5", J273&lt;=10, "6-10", J273&lt;=15, "11-15", J273&lt;=20, "16-20", J273&gt;20, "21+")</f>
        <v>6-10</v>
      </c>
      <c r="L273" t="s">
        <v>40</v>
      </c>
      <c r="M273" s="4" t="str">
        <f t="shared" ref="M273" si="136">_xlfn.TEXTAFTER(L273, " ")</f>
        <v>100</v>
      </c>
      <c r="N273" s="4">
        <f t="shared" si="129"/>
        <v>100</v>
      </c>
      <c r="O273" s="5">
        <v>4.7</v>
      </c>
      <c r="P273" t="b">
        <v>1</v>
      </c>
      <c r="Q273" t="s">
        <v>28</v>
      </c>
      <c r="R273" s="1">
        <v>0.84</v>
      </c>
      <c r="S273" s="6">
        <f t="shared" si="135"/>
        <v>0.84</v>
      </c>
    </row>
    <row r="274" spans="1:19" ht="13.5" x14ac:dyDescent="0.25">
      <c r="A274" t="s">
        <v>786</v>
      </c>
      <c r="B274" t="s">
        <v>787</v>
      </c>
      <c r="C274" t="str">
        <f t="shared" si="118"/>
        <v>Nancy Long</v>
      </c>
      <c r="D274" t="s">
        <v>37</v>
      </c>
      <c r="E274" s="3" t="str">
        <f t="shared" si="128"/>
        <v>Female</v>
      </c>
      <c r="G274" t="s">
        <v>152</v>
      </c>
      <c r="H274" t="s">
        <v>39</v>
      </c>
      <c r="I274" t="s">
        <v>288</v>
      </c>
      <c r="J274" s="5">
        <v>5</v>
      </c>
      <c r="K274" s="3" t="str" cm="1">
        <f t="array" ref="K274">_xlfn.IFS(J274&lt;=5, "0-5", J274&lt;=10, "6-10", J274&lt;=15, "11-15", J274&lt;=20, "16-20", J274&gt;20, "21+")</f>
        <v>0-5</v>
      </c>
      <c r="L274">
        <v>100</v>
      </c>
      <c r="M274" s="4">
        <f>L274</f>
        <v>100</v>
      </c>
      <c r="N274" s="4">
        <f t="shared" si="129"/>
        <v>100</v>
      </c>
      <c r="O274" s="5">
        <v>1.3</v>
      </c>
      <c r="P274">
        <v>0</v>
      </c>
      <c r="Q274" t="s">
        <v>54</v>
      </c>
      <c r="R274" s="1">
        <v>0.6</v>
      </c>
      <c r="S274" s="6">
        <f t="shared" si="135"/>
        <v>0.6</v>
      </c>
    </row>
    <row r="275" spans="1:19" ht="13.5" x14ac:dyDescent="0.25">
      <c r="A275" t="s">
        <v>788</v>
      </c>
      <c r="B275" t="s">
        <v>789</v>
      </c>
      <c r="C275" t="str">
        <f>_xlfn.TEXTAFTER(B275,". ",)</f>
        <v>Juan Mitchell</v>
      </c>
      <c r="D275" t="s">
        <v>31</v>
      </c>
      <c r="E275" s="3" t="str">
        <f t="shared" si="128"/>
        <v>Male</v>
      </c>
      <c r="F275" s="5">
        <v>35</v>
      </c>
      <c r="G275" t="s">
        <v>52</v>
      </c>
      <c r="H275" t="s">
        <v>53</v>
      </c>
      <c r="I275" t="s">
        <v>292</v>
      </c>
      <c r="J275" s="5">
        <v>6</v>
      </c>
      <c r="K275" s="3" t="str" cm="1">
        <f t="array" ref="K275">_xlfn.IFS(J275&lt;=5, "0-5", J275&lt;=10, "6-10", J275&lt;=15, "11-15", J275&lt;=20, "16-20", J275&gt;20, "21+")</f>
        <v>6-10</v>
      </c>
      <c r="L275" t="s">
        <v>92</v>
      </c>
      <c r="M275" s="4" t="str">
        <f t="shared" ref="M275" si="137">_xlfn.TEXTAFTER(L275, " ")</f>
        <v>75</v>
      </c>
      <c r="N275" s="4">
        <f t="shared" si="129"/>
        <v>75</v>
      </c>
      <c r="O275" s="5">
        <v>1.6</v>
      </c>
      <c r="P275">
        <v>1</v>
      </c>
      <c r="Q275" t="s">
        <v>28</v>
      </c>
      <c r="R275" s="1">
        <v>0.97</v>
      </c>
      <c r="S275" s="6">
        <f t="shared" si="135"/>
        <v>0.97</v>
      </c>
    </row>
    <row r="276" spans="1:19" ht="13.5" x14ac:dyDescent="0.25">
      <c r="A276" t="s">
        <v>790</v>
      </c>
      <c r="B276" t="s">
        <v>791</v>
      </c>
      <c r="C276" t="str">
        <f t="shared" ref="C276:C283" si="138">B276</f>
        <v>William Gaines</v>
      </c>
      <c r="D276" t="s">
        <v>32</v>
      </c>
      <c r="E276" s="3" t="str">
        <f t="shared" si="128"/>
        <v>Male</v>
      </c>
      <c r="F276" s="5">
        <v>59</v>
      </c>
      <c r="G276" t="s">
        <v>132</v>
      </c>
      <c r="H276" t="s">
        <v>133</v>
      </c>
      <c r="I276" t="s">
        <v>290</v>
      </c>
      <c r="J276" s="5">
        <v>21</v>
      </c>
      <c r="K276" s="3" t="str" cm="1">
        <f t="array" ref="K276">_xlfn.IFS(J276&lt;=5, "0-5", J276&lt;=10, "6-10", J276&lt;=15, "11-15", J276&lt;=20, "16-20", J276&gt;20, "21+")</f>
        <v>21+</v>
      </c>
      <c r="L276">
        <v>100</v>
      </c>
      <c r="M276" s="4">
        <f>L276</f>
        <v>100</v>
      </c>
      <c r="N276" s="4">
        <f t="shared" si="129"/>
        <v>100</v>
      </c>
      <c r="O276" s="5">
        <v>0</v>
      </c>
      <c r="R276" s="1">
        <v>0.7</v>
      </c>
      <c r="S276" s="6">
        <f t="shared" si="135"/>
        <v>0.7</v>
      </c>
    </row>
    <row r="277" spans="1:19" ht="13.5" x14ac:dyDescent="0.25">
      <c r="A277" t="s">
        <v>792</v>
      </c>
      <c r="B277" t="s">
        <v>793</v>
      </c>
      <c r="C277" t="str">
        <f t="shared" si="138"/>
        <v>Haley Yates</v>
      </c>
      <c r="D277" t="s">
        <v>21</v>
      </c>
      <c r="E277" s="3" t="str">
        <f t="shared" si="128"/>
        <v>Female</v>
      </c>
      <c r="F277" s="5">
        <v>26</v>
      </c>
      <c r="G277" t="s">
        <v>165</v>
      </c>
      <c r="H277" t="s">
        <v>166</v>
      </c>
      <c r="I277" t="s">
        <v>286</v>
      </c>
      <c r="J277" s="5">
        <v>4</v>
      </c>
      <c r="K277" s="3" t="str" cm="1">
        <f t="array" ref="K277">_xlfn.IFS(J277&lt;=5, "0-5", J277&lt;=10, "6-10", J277&lt;=15, "11-15", J277&lt;=20, "16-20", J277&gt;20, "21+")</f>
        <v>0-5</v>
      </c>
      <c r="L277" t="s">
        <v>40</v>
      </c>
      <c r="M277" s="4" t="str">
        <f t="shared" ref="M277" si="139">_xlfn.TEXTAFTER(L277, " ")</f>
        <v>100</v>
      </c>
      <c r="N277" s="4">
        <f t="shared" si="129"/>
        <v>100</v>
      </c>
      <c r="O277" s="5">
        <v>3.6</v>
      </c>
      <c r="P277" t="s">
        <v>81</v>
      </c>
      <c r="Q277" t="s">
        <v>54</v>
      </c>
      <c r="R277" s="1">
        <v>0.81</v>
      </c>
      <c r="S277" s="6">
        <f t="shared" si="135"/>
        <v>0.81</v>
      </c>
    </row>
    <row r="278" spans="1:19" ht="13.5" x14ac:dyDescent="0.25">
      <c r="A278" t="s">
        <v>794</v>
      </c>
      <c r="B278" t="s">
        <v>795</v>
      </c>
      <c r="C278" t="str">
        <f t="shared" si="138"/>
        <v>Richard Mcguire</v>
      </c>
      <c r="D278" t="s">
        <v>311</v>
      </c>
      <c r="E278" s="3" t="str">
        <f t="shared" si="128"/>
        <v>Male</v>
      </c>
      <c r="F278" s="5">
        <v>44</v>
      </c>
      <c r="G278" t="s">
        <v>95</v>
      </c>
      <c r="H278" t="s">
        <v>96</v>
      </c>
      <c r="I278" t="s">
        <v>284</v>
      </c>
      <c r="J278" s="5">
        <v>18</v>
      </c>
      <c r="K278" s="3" t="str" cm="1">
        <f t="array" ref="K278">_xlfn.IFS(J278&lt;=5, "0-5", J278&lt;=10, "6-10", J278&lt;=15, "11-15", J278&lt;=20, "16-20", J278&gt;20, "21+")</f>
        <v>16-20</v>
      </c>
      <c r="L278">
        <v>20</v>
      </c>
      <c r="M278" s="4">
        <f>L278</f>
        <v>20</v>
      </c>
      <c r="N278" s="4">
        <f t="shared" si="129"/>
        <v>20</v>
      </c>
      <c r="O278" s="5">
        <v>4.7</v>
      </c>
      <c r="P278">
        <v>1</v>
      </c>
      <c r="Q278" t="s">
        <v>28</v>
      </c>
      <c r="R278" s="1">
        <v>0.88</v>
      </c>
      <c r="S278" s="6">
        <f t="shared" si="135"/>
        <v>0.88</v>
      </c>
    </row>
    <row r="279" spans="1:19" ht="13.5" x14ac:dyDescent="0.25">
      <c r="A279" t="s">
        <v>796</v>
      </c>
      <c r="B279" t="s">
        <v>797</v>
      </c>
      <c r="C279" t="str">
        <f t="shared" si="138"/>
        <v>Stephanie Fisher</v>
      </c>
      <c r="D279" t="s">
        <v>22</v>
      </c>
      <c r="E279" s="3" t="str">
        <f t="shared" si="128"/>
        <v>Female</v>
      </c>
      <c r="F279" s="5">
        <v>31</v>
      </c>
      <c r="G279" t="s">
        <v>177</v>
      </c>
      <c r="H279" t="s">
        <v>178</v>
      </c>
      <c r="I279" t="s">
        <v>286</v>
      </c>
      <c r="J279" s="5">
        <v>12</v>
      </c>
      <c r="K279" s="3" t="str" cm="1">
        <f t="array" ref="K279">_xlfn.IFS(J279&lt;=5, "0-5", J279&lt;=10, "6-10", J279&lt;=15, "11-15", J279&lt;=20, "16-20", J279&gt;20, "21+")</f>
        <v>11-15</v>
      </c>
      <c r="L279" s="2">
        <v>40</v>
      </c>
      <c r="M279" s="4" t="str">
        <f>SUBSTITUTE(L279, "$","")</f>
        <v>40</v>
      </c>
      <c r="N279" s="4">
        <f t="shared" si="129"/>
        <v>40</v>
      </c>
      <c r="P279">
        <v>1</v>
      </c>
      <c r="Q279" t="s">
        <v>28</v>
      </c>
      <c r="R279" s="1">
        <v>1</v>
      </c>
      <c r="S279" s="6">
        <f t="shared" si="135"/>
        <v>1</v>
      </c>
    </row>
    <row r="280" spans="1:19" ht="13.5" x14ac:dyDescent="0.25">
      <c r="A280" t="s">
        <v>798</v>
      </c>
      <c r="B280" t="s">
        <v>799</v>
      </c>
      <c r="C280" t="str">
        <f t="shared" si="138"/>
        <v>Anthony Goodwin DDS</v>
      </c>
      <c r="D280" t="s">
        <v>31</v>
      </c>
      <c r="E280" s="3" t="str">
        <f t="shared" si="128"/>
        <v>Male</v>
      </c>
      <c r="F280" s="5">
        <v>60</v>
      </c>
      <c r="G280" t="s">
        <v>67</v>
      </c>
      <c r="H280" t="s">
        <v>68</v>
      </c>
      <c r="I280" t="s">
        <v>291</v>
      </c>
      <c r="J280" s="5">
        <v>6</v>
      </c>
      <c r="K280" s="3" t="str" cm="1">
        <f t="array" ref="K280">_xlfn.IFS(J280&lt;=5, "0-5", J280&lt;=10, "6-10", J280&lt;=15, "11-15", J280&lt;=20, "16-20", J280&gt;20, "21+")</f>
        <v>6-10</v>
      </c>
      <c r="N280" s="4" t="str">
        <f t="shared" si="129"/>
        <v>NA</v>
      </c>
      <c r="O280" s="5">
        <v>3.2</v>
      </c>
      <c r="P280">
        <v>0</v>
      </c>
      <c r="Q280" t="s">
        <v>54</v>
      </c>
      <c r="R280">
        <v>95</v>
      </c>
      <c r="S280" s="6">
        <f>R280/100</f>
        <v>0.95</v>
      </c>
    </row>
    <row r="281" spans="1:19" ht="13.5" x14ac:dyDescent="0.25">
      <c r="A281" t="s">
        <v>800</v>
      </c>
      <c r="B281" t="s">
        <v>801</v>
      </c>
      <c r="C281" t="str">
        <f t="shared" si="138"/>
        <v>Meagan Walters</v>
      </c>
      <c r="D281" t="s">
        <v>304</v>
      </c>
      <c r="E281" s="3" t="str">
        <f t="shared" si="128"/>
        <v>Female</v>
      </c>
      <c r="F281" s="5">
        <v>23</v>
      </c>
      <c r="G281" t="s">
        <v>152</v>
      </c>
      <c r="H281" t="s">
        <v>39</v>
      </c>
      <c r="I281" t="s">
        <v>292</v>
      </c>
      <c r="J281" s="5">
        <v>4</v>
      </c>
      <c r="K281" s="3" t="str" cm="1">
        <f t="array" ref="K281">_xlfn.IFS(J281&lt;=5, "0-5", J281&lt;=10, "6-10", J281&lt;=15, "11-15", J281&lt;=20, "16-20", J281&gt;20, "21+")</f>
        <v>0-5</v>
      </c>
      <c r="L281" t="s">
        <v>78</v>
      </c>
      <c r="M281" s="4" t="str">
        <f t="shared" ref="M281" si="140">_xlfn.TEXTAFTER(L281, " ")</f>
        <v>20</v>
      </c>
      <c r="N281" s="4">
        <f t="shared" si="129"/>
        <v>20</v>
      </c>
      <c r="P281">
        <v>0</v>
      </c>
      <c r="Q281" t="s">
        <v>54</v>
      </c>
      <c r="R281" s="1">
        <v>0.71</v>
      </c>
      <c r="S281" s="6">
        <f t="shared" ref="S281:S285" si="141">R281</f>
        <v>0.71</v>
      </c>
    </row>
    <row r="282" spans="1:19" ht="13.5" x14ac:dyDescent="0.25">
      <c r="A282" t="s">
        <v>802</v>
      </c>
      <c r="B282" t="s">
        <v>803</v>
      </c>
      <c r="C282" t="str">
        <f t="shared" si="138"/>
        <v>David Powell</v>
      </c>
      <c r="D282" t="s">
        <v>328</v>
      </c>
      <c r="E282" s="3" t="str">
        <f t="shared" si="128"/>
        <v>Male</v>
      </c>
      <c r="F282" s="5">
        <v>42</v>
      </c>
      <c r="G282" t="s">
        <v>104</v>
      </c>
      <c r="H282" t="s">
        <v>105</v>
      </c>
      <c r="I282" t="s">
        <v>286</v>
      </c>
      <c r="J282" s="5">
        <v>13</v>
      </c>
      <c r="K282" s="3" t="str" cm="1">
        <f t="array" ref="K282">_xlfn.IFS(J282&lt;=5, "0-5", J282&lt;=10, "6-10", J282&lt;=15, "11-15", J282&lt;=20, "16-20", J282&gt;20, "21+")</f>
        <v>11-15</v>
      </c>
      <c r="L282" s="2">
        <v>20</v>
      </c>
      <c r="M282" s="4" t="str">
        <f>SUBSTITUTE(L282, "$","")</f>
        <v>20</v>
      </c>
      <c r="N282" s="4">
        <f t="shared" si="129"/>
        <v>20</v>
      </c>
      <c r="O282" s="5">
        <v>4.7</v>
      </c>
      <c r="P282" t="s">
        <v>64</v>
      </c>
      <c r="Q282" t="s">
        <v>54</v>
      </c>
      <c r="R282" s="1">
        <v>0.85</v>
      </c>
      <c r="S282" s="6">
        <f t="shared" si="141"/>
        <v>0.85</v>
      </c>
    </row>
    <row r="283" spans="1:19" ht="13.5" x14ac:dyDescent="0.25">
      <c r="A283" t="s">
        <v>804</v>
      </c>
      <c r="B283" t="s">
        <v>805</v>
      </c>
      <c r="C283" t="str">
        <f t="shared" si="138"/>
        <v>Kelly Jones</v>
      </c>
      <c r="D283" t="s">
        <v>37</v>
      </c>
      <c r="E283" s="3" t="str">
        <f t="shared" si="128"/>
        <v>Female</v>
      </c>
      <c r="F283" s="5">
        <v>48</v>
      </c>
      <c r="G283" t="s">
        <v>146</v>
      </c>
      <c r="H283" t="s">
        <v>147</v>
      </c>
      <c r="I283" t="s">
        <v>285</v>
      </c>
      <c r="J283" s="5">
        <v>6</v>
      </c>
      <c r="K283" s="3" t="str" cm="1">
        <f t="array" ref="K283">_xlfn.IFS(J283&lt;=5, "0-5", J283&lt;=10, "6-10", J283&lt;=15, "11-15", J283&lt;=20, "16-20", J283&gt;20, "21+")</f>
        <v>6-10</v>
      </c>
      <c r="L283">
        <v>30</v>
      </c>
      <c r="M283" s="4">
        <f>L283</f>
        <v>30</v>
      </c>
      <c r="N283" s="4">
        <f t="shared" si="129"/>
        <v>30</v>
      </c>
      <c r="P283" t="s">
        <v>64</v>
      </c>
      <c r="Q283" t="s">
        <v>54</v>
      </c>
      <c r="R283" s="1">
        <v>0.96</v>
      </c>
      <c r="S283" s="6">
        <f t="shared" si="141"/>
        <v>0.96</v>
      </c>
    </row>
    <row r="284" spans="1:19" ht="13.5" x14ac:dyDescent="0.25">
      <c r="A284" t="s">
        <v>806</v>
      </c>
      <c r="B284" t="s">
        <v>807</v>
      </c>
      <c r="C284" t="str">
        <f>_xlfn.TEXTAFTER(B284,". ",)</f>
        <v>Michael Aguilar</v>
      </c>
      <c r="D284" t="s">
        <v>43</v>
      </c>
      <c r="E284" s="3" t="str">
        <f t="shared" si="128"/>
        <v>Male</v>
      </c>
      <c r="F284" s="5">
        <v>42</v>
      </c>
      <c r="G284" t="s">
        <v>52</v>
      </c>
      <c r="H284" t="s">
        <v>53</v>
      </c>
      <c r="I284" t="s">
        <v>287</v>
      </c>
      <c r="J284" s="5">
        <v>10</v>
      </c>
      <c r="K284" s="3" t="str" cm="1">
        <f t="array" ref="K284">_xlfn.IFS(J284&lt;=5, "0-5", J284&lt;=10, "6-10", J284&lt;=15, "11-15", J284&lt;=20, "16-20", J284&gt;20, "21+")</f>
        <v>6-10</v>
      </c>
      <c r="L284" t="s">
        <v>78</v>
      </c>
      <c r="M284" s="4" t="str">
        <f t="shared" ref="M284" si="142">_xlfn.TEXTAFTER(L284, " ")</f>
        <v>20</v>
      </c>
      <c r="N284" s="4">
        <f t="shared" si="129"/>
        <v>20</v>
      </c>
      <c r="O284" s="5">
        <v>2.4</v>
      </c>
      <c r="P284" t="s">
        <v>57</v>
      </c>
      <c r="Q284" t="s">
        <v>28</v>
      </c>
      <c r="R284" s="1">
        <v>0.92</v>
      </c>
      <c r="S284" s="6">
        <f t="shared" si="141"/>
        <v>0.92</v>
      </c>
    </row>
    <row r="285" spans="1:19" ht="13.5" x14ac:dyDescent="0.25">
      <c r="A285" t="s">
        <v>808</v>
      </c>
      <c r="B285" t="s">
        <v>809</v>
      </c>
      <c r="C285" t="str">
        <f t="shared" ref="C285:C310" si="143">B285</f>
        <v>Alex Novak</v>
      </c>
      <c r="D285" t="s">
        <v>328</v>
      </c>
      <c r="E285" s="3" t="str">
        <f t="shared" si="128"/>
        <v>Male</v>
      </c>
      <c r="F285" s="5">
        <v>52</v>
      </c>
      <c r="G285" t="s">
        <v>62</v>
      </c>
      <c r="H285" t="s">
        <v>63</v>
      </c>
      <c r="I285" t="s">
        <v>288</v>
      </c>
      <c r="J285" s="5">
        <v>20</v>
      </c>
      <c r="K285" s="3" t="str" cm="1">
        <f t="array" ref="K285">_xlfn.IFS(J285&lt;=5, "0-5", J285&lt;=10, "6-10", J285&lt;=15, "11-15", J285&lt;=20, "16-20", J285&gt;20, "21+")</f>
        <v>16-20</v>
      </c>
      <c r="L285">
        <v>50</v>
      </c>
      <c r="M285" s="4">
        <f t="shared" ref="M285:M291" si="144">L285</f>
        <v>50</v>
      </c>
      <c r="N285" s="4">
        <f t="shared" si="129"/>
        <v>50</v>
      </c>
      <c r="P285" t="b">
        <v>0</v>
      </c>
      <c r="Q285" t="s">
        <v>54</v>
      </c>
      <c r="R285" s="1">
        <v>0.79</v>
      </c>
      <c r="S285" s="6">
        <f t="shared" si="141"/>
        <v>0.79</v>
      </c>
    </row>
    <row r="286" spans="1:19" ht="13.5" x14ac:dyDescent="0.25">
      <c r="A286" t="s">
        <v>810</v>
      </c>
      <c r="B286" t="s">
        <v>811</v>
      </c>
      <c r="C286" t="str">
        <f t="shared" si="143"/>
        <v>Ann Contreras</v>
      </c>
      <c r="D286" t="s">
        <v>304</v>
      </c>
      <c r="E286" s="3" t="str">
        <f t="shared" si="128"/>
        <v>Female</v>
      </c>
      <c r="F286" s="5">
        <v>55</v>
      </c>
      <c r="G286" t="s">
        <v>88</v>
      </c>
      <c r="H286" t="s">
        <v>89</v>
      </c>
      <c r="I286" t="s">
        <v>290</v>
      </c>
      <c r="J286" s="5">
        <v>20</v>
      </c>
      <c r="K286" s="3" t="str" cm="1">
        <f t="array" ref="K286">_xlfn.IFS(J286&lt;=5, "0-5", J286&lt;=10, "6-10", J286&lt;=15, "11-15", J286&lt;=20, "16-20", J286&gt;20, "21+")</f>
        <v>16-20</v>
      </c>
      <c r="L286">
        <v>75</v>
      </c>
      <c r="M286" s="4">
        <f t="shared" si="144"/>
        <v>75</v>
      </c>
      <c r="N286" s="4">
        <f t="shared" si="129"/>
        <v>75</v>
      </c>
      <c r="O286" s="5">
        <v>2.9</v>
      </c>
      <c r="P286" t="b">
        <v>0</v>
      </c>
      <c r="Q286" t="s">
        <v>54</v>
      </c>
      <c r="S286" s="7"/>
    </row>
    <row r="287" spans="1:19" ht="13.5" x14ac:dyDescent="0.25">
      <c r="A287" t="s">
        <v>812</v>
      </c>
      <c r="B287" t="s">
        <v>813</v>
      </c>
      <c r="C287" t="str">
        <f t="shared" si="143"/>
        <v>Mary Reed</v>
      </c>
      <c r="D287" t="s">
        <v>37</v>
      </c>
      <c r="E287" s="3" t="str">
        <f t="shared" si="128"/>
        <v>Female</v>
      </c>
      <c r="F287" s="5">
        <v>58</v>
      </c>
      <c r="G287" t="s">
        <v>177</v>
      </c>
      <c r="H287" t="s">
        <v>178</v>
      </c>
      <c r="I287" t="s">
        <v>288</v>
      </c>
      <c r="J287" s="5">
        <v>11</v>
      </c>
      <c r="K287" s="3" t="str" cm="1">
        <f t="array" ref="K287">_xlfn.IFS(J287&lt;=5, "0-5", J287&lt;=10, "6-10", J287&lt;=15, "11-15", J287&lt;=20, "16-20", J287&gt;20, "21+")</f>
        <v>11-15</v>
      </c>
      <c r="L287">
        <v>50</v>
      </c>
      <c r="M287" s="4">
        <f t="shared" si="144"/>
        <v>50</v>
      </c>
      <c r="N287" s="4">
        <f t="shared" si="129"/>
        <v>50</v>
      </c>
      <c r="O287" s="5">
        <v>0</v>
      </c>
      <c r="P287">
        <v>0</v>
      </c>
      <c r="Q287" t="s">
        <v>54</v>
      </c>
      <c r="S287" s="7"/>
    </row>
    <row r="288" spans="1:19" ht="13.5" x14ac:dyDescent="0.25">
      <c r="A288" t="s">
        <v>814</v>
      </c>
      <c r="B288" t="s">
        <v>815</v>
      </c>
      <c r="C288" t="str">
        <f t="shared" si="143"/>
        <v>Lauren Ross</v>
      </c>
      <c r="D288" t="s">
        <v>21</v>
      </c>
      <c r="E288" s="3" t="str">
        <f t="shared" si="128"/>
        <v>Female</v>
      </c>
      <c r="F288" s="5">
        <v>46</v>
      </c>
      <c r="G288" t="s">
        <v>62</v>
      </c>
      <c r="H288" t="s">
        <v>63</v>
      </c>
      <c r="I288" t="s">
        <v>284</v>
      </c>
      <c r="J288" s="5">
        <v>12</v>
      </c>
      <c r="K288" s="3" t="str" cm="1">
        <f t="array" ref="K288">_xlfn.IFS(J288&lt;=5, "0-5", J288&lt;=10, "6-10", J288&lt;=15, "11-15", J288&lt;=20, "16-20", J288&gt;20, "21+")</f>
        <v>11-15</v>
      </c>
      <c r="L288">
        <v>20</v>
      </c>
      <c r="M288" s="4">
        <f t="shared" si="144"/>
        <v>20</v>
      </c>
      <c r="N288" s="4">
        <f t="shared" si="129"/>
        <v>20</v>
      </c>
      <c r="O288" s="5">
        <v>0</v>
      </c>
      <c r="P288" t="b">
        <v>0</v>
      </c>
      <c r="Q288" t="s">
        <v>54</v>
      </c>
      <c r="R288" s="1">
        <v>0.89</v>
      </c>
      <c r="S288" s="6">
        <f t="shared" ref="S288:S290" si="145">R288</f>
        <v>0.89</v>
      </c>
    </row>
    <row r="289" spans="1:19" ht="13.5" x14ac:dyDescent="0.25">
      <c r="A289" t="s">
        <v>816</v>
      </c>
      <c r="B289" t="s">
        <v>817</v>
      </c>
      <c r="C289" t="str">
        <f t="shared" si="143"/>
        <v>Candice Wise</v>
      </c>
      <c r="D289" t="s">
        <v>21</v>
      </c>
      <c r="E289" s="3" t="str">
        <f t="shared" si="128"/>
        <v>Female</v>
      </c>
      <c r="F289" s="5">
        <v>45</v>
      </c>
      <c r="G289" t="s">
        <v>84</v>
      </c>
      <c r="H289" t="s">
        <v>24</v>
      </c>
      <c r="I289" t="s">
        <v>284</v>
      </c>
      <c r="J289" s="5">
        <v>1</v>
      </c>
      <c r="K289" s="3" t="str" cm="1">
        <f t="array" ref="K289">_xlfn.IFS(J289&lt;=5, "0-5", J289&lt;=10, "6-10", J289&lt;=15, "11-15", J289&lt;=20, "16-20", J289&gt;20, "21+")</f>
        <v>0-5</v>
      </c>
      <c r="L289">
        <v>100</v>
      </c>
      <c r="M289" s="4">
        <f t="shared" si="144"/>
        <v>100</v>
      </c>
      <c r="N289" s="4">
        <f t="shared" si="129"/>
        <v>100</v>
      </c>
      <c r="O289" s="5">
        <v>1.5</v>
      </c>
      <c r="P289">
        <v>1</v>
      </c>
      <c r="Q289" t="s">
        <v>28</v>
      </c>
      <c r="R289" s="1">
        <v>1</v>
      </c>
      <c r="S289" s="6">
        <f t="shared" si="145"/>
        <v>1</v>
      </c>
    </row>
    <row r="290" spans="1:19" ht="13.5" x14ac:dyDescent="0.25">
      <c r="A290" t="s">
        <v>818</v>
      </c>
      <c r="B290" t="s">
        <v>819</v>
      </c>
      <c r="C290" t="str">
        <f t="shared" si="143"/>
        <v>Joyce Humphrey</v>
      </c>
      <c r="D290" t="s">
        <v>21</v>
      </c>
      <c r="E290" s="3" t="str">
        <f t="shared" si="128"/>
        <v>Female</v>
      </c>
      <c r="F290" s="5">
        <v>56</v>
      </c>
      <c r="G290" t="s">
        <v>146</v>
      </c>
      <c r="H290" t="s">
        <v>147</v>
      </c>
      <c r="I290" t="s">
        <v>284</v>
      </c>
      <c r="J290" s="5">
        <v>2</v>
      </c>
      <c r="K290" s="3" t="str" cm="1">
        <f t="array" ref="K290">_xlfn.IFS(J290&lt;=5, "0-5", J290&lt;=10, "6-10", J290&lt;=15, "11-15", J290&lt;=20, "16-20", J290&gt;20, "21+")</f>
        <v>0-5</v>
      </c>
      <c r="L290">
        <v>30</v>
      </c>
      <c r="M290" s="4">
        <f t="shared" si="144"/>
        <v>30</v>
      </c>
      <c r="N290" s="4">
        <f t="shared" si="129"/>
        <v>30</v>
      </c>
      <c r="O290" s="5">
        <v>1.9</v>
      </c>
      <c r="P290">
        <v>1</v>
      </c>
      <c r="Q290" t="s">
        <v>28</v>
      </c>
      <c r="R290" s="1">
        <v>0.81</v>
      </c>
      <c r="S290" s="6">
        <f t="shared" si="145"/>
        <v>0.81</v>
      </c>
    </row>
    <row r="291" spans="1:19" ht="13.5" x14ac:dyDescent="0.25">
      <c r="A291" t="s">
        <v>820</v>
      </c>
      <c r="B291" t="s">
        <v>821</v>
      </c>
      <c r="C291" t="str">
        <f t="shared" si="143"/>
        <v>James Carr</v>
      </c>
      <c r="D291" t="s">
        <v>31</v>
      </c>
      <c r="E291" s="3" t="str">
        <f t="shared" si="128"/>
        <v>Male</v>
      </c>
      <c r="F291" s="5">
        <v>44</v>
      </c>
      <c r="G291" t="s">
        <v>152</v>
      </c>
      <c r="H291" t="s">
        <v>39</v>
      </c>
      <c r="I291" t="s">
        <v>292</v>
      </c>
      <c r="J291" s="5">
        <v>13</v>
      </c>
      <c r="K291" s="3" t="str" cm="1">
        <f t="array" ref="K291">_xlfn.IFS(J291&lt;=5, "0-5", J291&lt;=10, "6-10", J291&lt;=15, "11-15", J291&lt;=20, "16-20", J291&gt;20, "21+")</f>
        <v>11-15</v>
      </c>
      <c r="L291">
        <v>100</v>
      </c>
      <c r="M291" s="4">
        <f t="shared" si="144"/>
        <v>100</v>
      </c>
      <c r="N291" s="4">
        <f t="shared" si="129"/>
        <v>100</v>
      </c>
      <c r="O291" s="5">
        <v>3.1</v>
      </c>
      <c r="P291" t="s">
        <v>57</v>
      </c>
      <c r="Q291" t="s">
        <v>28</v>
      </c>
      <c r="R291">
        <v>95</v>
      </c>
      <c r="S291" s="6">
        <f>R291/100</f>
        <v>0.95</v>
      </c>
    </row>
    <row r="292" spans="1:19" ht="13.5" x14ac:dyDescent="0.25">
      <c r="A292" t="s">
        <v>822</v>
      </c>
      <c r="B292" t="s">
        <v>823</v>
      </c>
      <c r="C292" t="str">
        <f t="shared" si="143"/>
        <v>Joseph Mendoza</v>
      </c>
      <c r="D292" t="s">
        <v>32</v>
      </c>
      <c r="E292" s="3" t="str">
        <f t="shared" si="128"/>
        <v>Male</v>
      </c>
      <c r="F292" s="5">
        <v>46</v>
      </c>
      <c r="G292" t="s">
        <v>104</v>
      </c>
      <c r="H292" t="s">
        <v>105</v>
      </c>
      <c r="I292" t="s">
        <v>286</v>
      </c>
      <c r="J292" s="5">
        <v>0</v>
      </c>
      <c r="K292" s="3" t="str" cm="1">
        <f t="array" ref="K292">_xlfn.IFS(J292&lt;=5, "0-5", J292&lt;=10, "6-10", J292&lt;=15, "11-15", J292&lt;=20, "16-20", J292&gt;20, "21+")</f>
        <v>0-5</v>
      </c>
      <c r="N292" s="4" t="str">
        <f t="shared" si="129"/>
        <v>NA</v>
      </c>
      <c r="O292" s="5">
        <v>1.8</v>
      </c>
      <c r="P292" t="s">
        <v>64</v>
      </c>
      <c r="Q292" t="s">
        <v>54</v>
      </c>
      <c r="R292" s="1">
        <v>0.88</v>
      </c>
      <c r="S292" s="6">
        <f t="shared" ref="S292:S294" si="146">R292</f>
        <v>0.88</v>
      </c>
    </row>
    <row r="293" spans="1:19" ht="13.5" x14ac:dyDescent="0.25">
      <c r="A293" t="s">
        <v>824</v>
      </c>
      <c r="B293" t="s">
        <v>825</v>
      </c>
      <c r="C293" t="str">
        <f t="shared" si="143"/>
        <v>Cathy Baldwin</v>
      </c>
      <c r="D293" t="s">
        <v>22</v>
      </c>
      <c r="E293" s="3" t="str">
        <f t="shared" si="128"/>
        <v>Female</v>
      </c>
      <c r="F293" s="5">
        <v>27</v>
      </c>
      <c r="G293" t="s">
        <v>88</v>
      </c>
      <c r="H293" t="s">
        <v>89</v>
      </c>
      <c r="I293" t="s">
        <v>290</v>
      </c>
      <c r="J293" s="5">
        <v>7</v>
      </c>
      <c r="K293" s="3" t="str" cm="1">
        <f t="array" ref="K293">_xlfn.IFS(J293&lt;=5, "0-5", J293&lt;=10, "6-10", J293&lt;=15, "11-15", J293&lt;=20, "16-20", J293&gt;20, "21+")</f>
        <v>6-10</v>
      </c>
      <c r="L293">
        <v>30</v>
      </c>
      <c r="M293" s="4">
        <f t="shared" ref="M293:M294" si="147">L293</f>
        <v>30</v>
      </c>
      <c r="N293" s="4">
        <f t="shared" si="129"/>
        <v>30</v>
      </c>
      <c r="O293" s="5">
        <v>2.4</v>
      </c>
      <c r="P293" t="s">
        <v>27</v>
      </c>
      <c r="Q293" t="s">
        <v>28</v>
      </c>
      <c r="R293" s="1">
        <v>0.66</v>
      </c>
      <c r="S293" s="6">
        <f t="shared" si="146"/>
        <v>0.66</v>
      </c>
    </row>
    <row r="294" spans="1:19" ht="13.5" x14ac:dyDescent="0.25">
      <c r="A294" t="s">
        <v>826</v>
      </c>
      <c r="B294" t="s">
        <v>827</v>
      </c>
      <c r="C294" t="str">
        <f t="shared" si="143"/>
        <v>Christine Hart</v>
      </c>
      <c r="D294" t="s">
        <v>21</v>
      </c>
      <c r="E294" s="3" t="str">
        <f t="shared" si="128"/>
        <v>Female</v>
      </c>
      <c r="F294" s="5">
        <v>49</v>
      </c>
      <c r="G294" t="s">
        <v>146</v>
      </c>
      <c r="H294" t="s">
        <v>147</v>
      </c>
      <c r="I294" t="s">
        <v>292</v>
      </c>
      <c r="J294" s="5">
        <v>13</v>
      </c>
      <c r="K294" s="3" t="str" cm="1">
        <f t="array" ref="K294">_xlfn.IFS(J294&lt;=5, "0-5", J294&lt;=10, "6-10", J294&lt;=15, "11-15", J294&lt;=20, "16-20", J294&gt;20, "21+")</f>
        <v>11-15</v>
      </c>
      <c r="L294">
        <v>100</v>
      </c>
      <c r="M294" s="4">
        <f t="shared" si="147"/>
        <v>100</v>
      </c>
      <c r="N294" s="4">
        <f t="shared" si="129"/>
        <v>100</v>
      </c>
      <c r="O294" s="5">
        <v>4.2</v>
      </c>
      <c r="P294">
        <v>1</v>
      </c>
      <c r="Q294" t="s">
        <v>28</v>
      </c>
      <c r="R294" s="1">
        <v>0.84</v>
      </c>
      <c r="S294" s="6">
        <f t="shared" si="146"/>
        <v>0.84</v>
      </c>
    </row>
    <row r="295" spans="1:19" ht="13.5" x14ac:dyDescent="0.25">
      <c r="A295" t="s">
        <v>828</v>
      </c>
      <c r="B295" t="s">
        <v>829</v>
      </c>
      <c r="C295" t="str">
        <f t="shared" si="143"/>
        <v>Mike Stanley</v>
      </c>
      <c r="D295" t="s">
        <v>32</v>
      </c>
      <c r="E295" s="3" t="str">
        <f t="shared" si="128"/>
        <v>Male</v>
      </c>
      <c r="F295" s="5">
        <v>53</v>
      </c>
      <c r="G295" t="s">
        <v>44</v>
      </c>
      <c r="H295" t="s">
        <v>24</v>
      </c>
      <c r="I295" t="s">
        <v>290</v>
      </c>
      <c r="J295" s="5">
        <v>21</v>
      </c>
      <c r="K295" s="3" t="str" cm="1">
        <f t="array" ref="K295">_xlfn.IFS(J295&lt;=5, "0-5", J295&lt;=10, "6-10", J295&lt;=15, "11-15", J295&lt;=20, "16-20", J295&gt;20, "21+")</f>
        <v>21+</v>
      </c>
      <c r="L295" s="2">
        <v>50</v>
      </c>
      <c r="M295" s="4" t="str">
        <f>SUBSTITUTE(L295, "$","")</f>
        <v>50</v>
      </c>
      <c r="N295" s="4">
        <f t="shared" si="129"/>
        <v>50</v>
      </c>
      <c r="O295" s="5">
        <v>1.4</v>
      </c>
      <c r="P295" t="s">
        <v>64</v>
      </c>
      <c r="Q295" t="s">
        <v>54</v>
      </c>
      <c r="S295" s="7"/>
    </row>
    <row r="296" spans="1:19" ht="13.5" x14ac:dyDescent="0.25">
      <c r="A296" t="s">
        <v>830</v>
      </c>
      <c r="B296" t="s">
        <v>831</v>
      </c>
      <c r="C296" t="str">
        <f t="shared" si="143"/>
        <v>Jeffrey Edwards</v>
      </c>
      <c r="D296" t="s">
        <v>32</v>
      </c>
      <c r="E296" s="3" t="str">
        <f t="shared" si="128"/>
        <v>Male</v>
      </c>
      <c r="F296" s="5">
        <v>56</v>
      </c>
      <c r="G296" t="s">
        <v>38</v>
      </c>
      <c r="H296" t="s">
        <v>39</v>
      </c>
      <c r="I296" t="s">
        <v>290</v>
      </c>
      <c r="J296" s="5">
        <v>19</v>
      </c>
      <c r="K296" s="3" t="str" cm="1">
        <f t="array" ref="K296">_xlfn.IFS(J296&lt;=5, "0-5", J296&lt;=10, "6-10", J296&lt;=15, "11-15", J296&lt;=20, "16-20", J296&gt;20, "21+")</f>
        <v>16-20</v>
      </c>
      <c r="L296">
        <v>40</v>
      </c>
      <c r="M296" s="4">
        <f>L296</f>
        <v>40</v>
      </c>
      <c r="N296" s="4">
        <f t="shared" si="129"/>
        <v>40</v>
      </c>
      <c r="O296" s="5">
        <v>1.2</v>
      </c>
      <c r="P296" t="s">
        <v>57</v>
      </c>
      <c r="Q296" t="s">
        <v>28</v>
      </c>
      <c r="R296" s="1">
        <v>0.82</v>
      </c>
      <c r="S296" s="6">
        <f t="shared" ref="S296:S305" si="148">R296</f>
        <v>0.82</v>
      </c>
    </row>
    <row r="297" spans="1:19" ht="13.5" x14ac:dyDescent="0.25">
      <c r="A297" t="s">
        <v>832</v>
      </c>
      <c r="B297" t="s">
        <v>833</v>
      </c>
      <c r="C297" t="str">
        <f t="shared" si="143"/>
        <v>Amy Lee</v>
      </c>
      <c r="D297" t="s">
        <v>21</v>
      </c>
      <c r="E297" s="3" t="str">
        <f t="shared" si="128"/>
        <v>Female</v>
      </c>
      <c r="F297" s="5">
        <v>56</v>
      </c>
      <c r="G297" t="s">
        <v>152</v>
      </c>
      <c r="H297" t="s">
        <v>39</v>
      </c>
      <c r="I297" t="s">
        <v>283</v>
      </c>
      <c r="J297" s="5">
        <v>34</v>
      </c>
      <c r="K297" s="3" t="str" cm="1">
        <f t="array" ref="K297">_xlfn.IFS(J297&lt;=5, "0-5", J297&lt;=10, "6-10", J297&lt;=15, "11-15", J297&lt;=20, "16-20", J297&gt;20, "21+")</f>
        <v>21+</v>
      </c>
      <c r="N297" s="4" t="str">
        <f t="shared" si="129"/>
        <v>NA</v>
      </c>
      <c r="O297" s="5">
        <v>2.1</v>
      </c>
      <c r="P297" t="s">
        <v>27</v>
      </c>
      <c r="Q297" t="s">
        <v>28</v>
      </c>
      <c r="R297" s="1">
        <v>0.84</v>
      </c>
      <c r="S297" s="6">
        <f t="shared" si="148"/>
        <v>0.84</v>
      </c>
    </row>
    <row r="298" spans="1:19" ht="13.5" x14ac:dyDescent="0.25">
      <c r="A298" t="s">
        <v>834</v>
      </c>
      <c r="B298" t="s">
        <v>835</v>
      </c>
      <c r="C298" t="str">
        <f t="shared" si="143"/>
        <v>Mark Thompson</v>
      </c>
      <c r="D298" t="s">
        <v>311</v>
      </c>
      <c r="E298" s="3" t="str">
        <f t="shared" si="128"/>
        <v>Male</v>
      </c>
      <c r="F298" s="5">
        <v>38</v>
      </c>
      <c r="G298" t="s">
        <v>177</v>
      </c>
      <c r="H298" t="s">
        <v>178</v>
      </c>
      <c r="I298" t="s">
        <v>291</v>
      </c>
      <c r="J298" s="5">
        <v>3</v>
      </c>
      <c r="K298" s="3" t="str" cm="1">
        <f t="array" ref="K298">_xlfn.IFS(J298&lt;=5, "0-5", J298&lt;=10, "6-10", J298&lt;=15, "11-15", J298&lt;=20, "16-20", J298&gt;20, "21+")</f>
        <v>0-5</v>
      </c>
      <c r="L298">
        <v>100</v>
      </c>
      <c r="M298" s="4">
        <f t="shared" ref="M298:M301" si="149">L298</f>
        <v>100</v>
      </c>
      <c r="N298" s="4">
        <f t="shared" si="129"/>
        <v>100</v>
      </c>
      <c r="O298" s="5">
        <v>1.4</v>
      </c>
      <c r="P298" t="b">
        <v>0</v>
      </c>
      <c r="Q298" t="s">
        <v>54</v>
      </c>
      <c r="R298" s="1">
        <v>0.73</v>
      </c>
      <c r="S298" s="6">
        <f t="shared" si="148"/>
        <v>0.73</v>
      </c>
    </row>
    <row r="299" spans="1:19" ht="13.5" x14ac:dyDescent="0.25">
      <c r="A299" t="s">
        <v>836</v>
      </c>
      <c r="B299" t="s">
        <v>837</v>
      </c>
      <c r="C299" t="str">
        <f t="shared" si="143"/>
        <v>Alex Wilson</v>
      </c>
      <c r="D299" t="s">
        <v>328</v>
      </c>
      <c r="E299" s="3" t="str">
        <f t="shared" si="128"/>
        <v>Male</v>
      </c>
      <c r="F299" s="5">
        <v>20</v>
      </c>
      <c r="G299" t="s">
        <v>62</v>
      </c>
      <c r="H299" t="s">
        <v>63</v>
      </c>
      <c r="I299" t="s">
        <v>285</v>
      </c>
      <c r="J299" s="5">
        <v>0</v>
      </c>
      <c r="K299" s="3" t="str" cm="1">
        <f t="array" ref="K299">_xlfn.IFS(J299&lt;=5, "0-5", J299&lt;=10, "6-10", J299&lt;=15, "11-15", J299&lt;=20, "16-20", J299&gt;20, "21+")</f>
        <v>0-5</v>
      </c>
      <c r="L299">
        <v>30</v>
      </c>
      <c r="M299" s="4">
        <f t="shared" si="149"/>
        <v>30</v>
      </c>
      <c r="N299" s="4">
        <f t="shared" si="129"/>
        <v>30</v>
      </c>
      <c r="O299" s="5">
        <v>3.8</v>
      </c>
      <c r="R299" s="1">
        <v>0.93</v>
      </c>
      <c r="S299" s="6">
        <f t="shared" si="148"/>
        <v>0.93</v>
      </c>
    </row>
    <row r="300" spans="1:19" ht="13.5" x14ac:dyDescent="0.25">
      <c r="A300" t="s">
        <v>838</v>
      </c>
      <c r="B300" t="s">
        <v>839</v>
      </c>
      <c r="C300" t="str">
        <f t="shared" si="143"/>
        <v>Nancy Mendez</v>
      </c>
      <c r="D300" t="s">
        <v>304</v>
      </c>
      <c r="E300" s="3" t="str">
        <f t="shared" si="128"/>
        <v>Female</v>
      </c>
      <c r="F300" s="5">
        <v>38</v>
      </c>
      <c r="G300" t="s">
        <v>125</v>
      </c>
      <c r="H300" t="s">
        <v>39</v>
      </c>
      <c r="I300" t="s">
        <v>284</v>
      </c>
      <c r="J300" s="5">
        <v>20</v>
      </c>
      <c r="K300" s="3" t="str" cm="1">
        <f t="array" ref="K300">_xlfn.IFS(J300&lt;=5, "0-5", J300&lt;=10, "6-10", J300&lt;=15, "11-15", J300&lt;=20, "16-20", J300&gt;20, "21+")</f>
        <v>16-20</v>
      </c>
      <c r="L300">
        <v>50</v>
      </c>
      <c r="M300" s="4">
        <f t="shared" si="149"/>
        <v>50</v>
      </c>
      <c r="N300" s="4">
        <f t="shared" si="129"/>
        <v>50</v>
      </c>
      <c r="O300" s="5">
        <v>0</v>
      </c>
      <c r="R300" s="1">
        <v>0.64</v>
      </c>
      <c r="S300" s="6">
        <f t="shared" si="148"/>
        <v>0.64</v>
      </c>
    </row>
    <row r="301" spans="1:19" ht="13.5" x14ac:dyDescent="0.25">
      <c r="A301" t="s">
        <v>840</v>
      </c>
      <c r="B301" t="s">
        <v>841</v>
      </c>
      <c r="C301" t="str">
        <f t="shared" si="143"/>
        <v>Beth Crane</v>
      </c>
      <c r="D301" t="s">
        <v>37</v>
      </c>
      <c r="E301" s="3" t="str">
        <f t="shared" si="128"/>
        <v>Female</v>
      </c>
      <c r="G301" t="s">
        <v>52</v>
      </c>
      <c r="H301" t="s">
        <v>53</v>
      </c>
      <c r="I301" t="s">
        <v>285</v>
      </c>
      <c r="J301" s="5">
        <v>6</v>
      </c>
      <c r="K301" s="3" t="str" cm="1">
        <f t="array" ref="K301">_xlfn.IFS(J301&lt;=5, "0-5", J301&lt;=10, "6-10", J301&lt;=15, "11-15", J301&lt;=20, "16-20", J301&gt;20, "21+")</f>
        <v>6-10</v>
      </c>
      <c r="L301">
        <v>40</v>
      </c>
      <c r="M301" s="4">
        <f t="shared" si="149"/>
        <v>40</v>
      </c>
      <c r="N301" s="4">
        <f t="shared" si="129"/>
        <v>40</v>
      </c>
      <c r="O301" s="5">
        <v>3.5</v>
      </c>
      <c r="P301">
        <v>0</v>
      </c>
      <c r="Q301" t="s">
        <v>54</v>
      </c>
      <c r="R301" s="1">
        <v>0.76</v>
      </c>
      <c r="S301" s="6">
        <f t="shared" si="148"/>
        <v>0.76</v>
      </c>
    </row>
    <row r="302" spans="1:19" ht="13.5" x14ac:dyDescent="0.25">
      <c r="A302" t="s">
        <v>842</v>
      </c>
      <c r="B302" t="s">
        <v>843</v>
      </c>
      <c r="C302" t="str">
        <f t="shared" si="143"/>
        <v>Miguel Rogers</v>
      </c>
      <c r="D302" t="s">
        <v>311</v>
      </c>
      <c r="E302" s="3" t="str">
        <f t="shared" si="128"/>
        <v>Male</v>
      </c>
      <c r="F302" s="5">
        <v>46</v>
      </c>
      <c r="G302" t="s">
        <v>146</v>
      </c>
      <c r="H302" t="s">
        <v>147</v>
      </c>
      <c r="I302" t="s">
        <v>284</v>
      </c>
      <c r="J302" s="5">
        <v>13</v>
      </c>
      <c r="K302" s="3" t="str" cm="1">
        <f t="array" ref="K302">_xlfn.IFS(J302&lt;=5, "0-5", J302&lt;=10, "6-10", J302&lt;=15, "11-15", J302&lt;=20, "16-20", J302&gt;20, "21+")</f>
        <v>11-15</v>
      </c>
      <c r="L302" s="2">
        <v>100</v>
      </c>
      <c r="M302" s="4" t="str">
        <f>SUBSTITUTE(L302, "$","")</f>
        <v>100</v>
      </c>
      <c r="N302" s="4">
        <f t="shared" si="129"/>
        <v>100</v>
      </c>
      <c r="O302" s="5">
        <v>0</v>
      </c>
      <c r="P302" t="s">
        <v>57</v>
      </c>
      <c r="Q302" t="s">
        <v>28</v>
      </c>
      <c r="R302" s="1">
        <v>0.97</v>
      </c>
      <c r="S302" s="6">
        <f t="shared" si="148"/>
        <v>0.97</v>
      </c>
    </row>
    <row r="303" spans="1:19" ht="13.5" x14ac:dyDescent="0.25">
      <c r="A303" t="s">
        <v>844</v>
      </c>
      <c r="B303" t="s">
        <v>845</v>
      </c>
      <c r="C303" t="str">
        <f t="shared" si="143"/>
        <v>Thomas Robles</v>
      </c>
      <c r="D303" t="s">
        <v>32</v>
      </c>
      <c r="E303" s="3" t="str">
        <f t="shared" si="128"/>
        <v>Male</v>
      </c>
      <c r="F303" s="5">
        <v>36</v>
      </c>
      <c r="G303" t="s">
        <v>177</v>
      </c>
      <c r="H303" t="s">
        <v>178</v>
      </c>
      <c r="I303" t="s">
        <v>291</v>
      </c>
      <c r="J303" s="5">
        <v>9</v>
      </c>
      <c r="K303" s="3" t="str" cm="1">
        <f t="array" ref="K303">_xlfn.IFS(J303&lt;=5, "0-5", J303&lt;=10, "6-10", J303&lt;=15, "11-15", J303&lt;=20, "16-20", J303&gt;20, "21+")</f>
        <v>6-10</v>
      </c>
      <c r="L303">
        <v>75</v>
      </c>
      <c r="M303" s="4">
        <f t="shared" ref="M303:M304" si="150">L303</f>
        <v>75</v>
      </c>
      <c r="N303" s="4">
        <f t="shared" si="129"/>
        <v>75</v>
      </c>
      <c r="O303" s="5">
        <v>2.2000000000000002</v>
      </c>
      <c r="P303">
        <v>0</v>
      </c>
      <c r="Q303" t="s">
        <v>54</v>
      </c>
      <c r="R303" s="1">
        <v>0.95</v>
      </c>
      <c r="S303" s="6">
        <f t="shared" si="148"/>
        <v>0.95</v>
      </c>
    </row>
    <row r="304" spans="1:19" ht="13.5" x14ac:dyDescent="0.25">
      <c r="A304" t="s">
        <v>846</v>
      </c>
      <c r="B304" t="s">
        <v>847</v>
      </c>
      <c r="C304" t="str">
        <f t="shared" si="143"/>
        <v>Joel Brown III</v>
      </c>
      <c r="D304" t="s">
        <v>32</v>
      </c>
      <c r="E304" s="3" t="str">
        <f t="shared" si="128"/>
        <v>Male</v>
      </c>
      <c r="F304" s="5">
        <v>33</v>
      </c>
      <c r="G304" t="s">
        <v>95</v>
      </c>
      <c r="H304" t="s">
        <v>96</v>
      </c>
      <c r="I304" t="s">
        <v>290</v>
      </c>
      <c r="J304" s="5">
        <v>2</v>
      </c>
      <c r="K304" s="3" t="str" cm="1">
        <f t="array" ref="K304">_xlfn.IFS(J304&lt;=5, "0-5", J304&lt;=10, "6-10", J304&lt;=15, "11-15", J304&lt;=20, "16-20", J304&gt;20, "21+")</f>
        <v>0-5</v>
      </c>
      <c r="L304">
        <v>75</v>
      </c>
      <c r="M304" s="4">
        <f t="shared" si="150"/>
        <v>75</v>
      </c>
      <c r="N304" s="4">
        <f t="shared" si="129"/>
        <v>75</v>
      </c>
      <c r="O304" s="5">
        <v>2.5</v>
      </c>
      <c r="P304" t="b">
        <v>0</v>
      </c>
      <c r="Q304" t="s">
        <v>54</v>
      </c>
      <c r="R304" s="1">
        <v>0.65</v>
      </c>
      <c r="S304" s="6">
        <f t="shared" si="148"/>
        <v>0.65</v>
      </c>
    </row>
    <row r="305" spans="1:19" ht="13.5" x14ac:dyDescent="0.25">
      <c r="A305" t="s">
        <v>848</v>
      </c>
      <c r="B305" t="s">
        <v>849</v>
      </c>
      <c r="C305" t="str">
        <f t="shared" si="143"/>
        <v>Olivia Schultz</v>
      </c>
      <c r="D305" t="s">
        <v>301</v>
      </c>
      <c r="E305" s="3" t="str">
        <f t="shared" si="128"/>
        <v>Female</v>
      </c>
      <c r="F305" s="5">
        <v>37</v>
      </c>
      <c r="G305" t="s">
        <v>125</v>
      </c>
      <c r="H305" t="s">
        <v>39</v>
      </c>
      <c r="I305" t="s">
        <v>287</v>
      </c>
      <c r="J305" s="5">
        <v>0</v>
      </c>
      <c r="K305" s="3" t="str" cm="1">
        <f t="array" ref="K305">_xlfn.IFS(J305&lt;=5, "0-5", J305&lt;=10, "6-10", J305&lt;=15, "11-15", J305&lt;=20, "16-20", J305&gt;20, "21+")</f>
        <v>0-5</v>
      </c>
      <c r="L305" t="s">
        <v>112</v>
      </c>
      <c r="M305" s="4" t="str">
        <f t="shared" ref="M305" si="151">_xlfn.TEXTAFTER(L305, " ")</f>
        <v>50</v>
      </c>
      <c r="N305" s="4">
        <f t="shared" si="129"/>
        <v>50</v>
      </c>
      <c r="O305" s="5">
        <v>4.7</v>
      </c>
      <c r="P305">
        <v>0</v>
      </c>
      <c r="Q305" t="s">
        <v>54</v>
      </c>
      <c r="R305" s="1">
        <v>0.77</v>
      </c>
      <c r="S305" s="6">
        <f t="shared" si="148"/>
        <v>0.77</v>
      </c>
    </row>
    <row r="306" spans="1:19" ht="13.5" x14ac:dyDescent="0.25">
      <c r="A306" t="s">
        <v>850</v>
      </c>
      <c r="B306" t="s">
        <v>851</v>
      </c>
      <c r="C306" t="str">
        <f t="shared" si="143"/>
        <v>Clayton Pena</v>
      </c>
      <c r="D306" t="s">
        <v>32</v>
      </c>
      <c r="E306" s="3" t="str">
        <f t="shared" si="128"/>
        <v>Male</v>
      </c>
      <c r="F306" s="5">
        <v>20</v>
      </c>
      <c r="G306" t="s">
        <v>117</v>
      </c>
      <c r="H306" t="s">
        <v>118</v>
      </c>
      <c r="I306" t="s">
        <v>291</v>
      </c>
      <c r="J306" s="5">
        <v>0</v>
      </c>
      <c r="K306" s="3" t="str" cm="1">
        <f t="array" ref="K306">_xlfn.IFS(J306&lt;=5, "0-5", J306&lt;=10, "6-10", J306&lt;=15, "11-15", J306&lt;=20, "16-20", J306&gt;20, "21+")</f>
        <v>0-5</v>
      </c>
      <c r="L306">
        <v>20</v>
      </c>
      <c r="M306" s="4">
        <f t="shared" ref="M306:M307" si="152">L306</f>
        <v>20</v>
      </c>
      <c r="N306" s="4">
        <f t="shared" si="129"/>
        <v>20</v>
      </c>
      <c r="O306" s="5">
        <v>3.9</v>
      </c>
      <c r="P306" t="b">
        <v>0</v>
      </c>
      <c r="Q306" t="s">
        <v>54</v>
      </c>
      <c r="S306" s="7"/>
    </row>
    <row r="307" spans="1:19" ht="13.5" x14ac:dyDescent="0.25">
      <c r="A307" t="s">
        <v>852</v>
      </c>
      <c r="B307" t="s">
        <v>853</v>
      </c>
      <c r="C307" t="str">
        <f t="shared" si="143"/>
        <v>Ashley Salazar</v>
      </c>
      <c r="D307" t="s">
        <v>21</v>
      </c>
      <c r="E307" s="3" t="str">
        <f t="shared" si="128"/>
        <v>Female</v>
      </c>
      <c r="F307" s="5">
        <v>48</v>
      </c>
      <c r="G307" t="s">
        <v>165</v>
      </c>
      <c r="H307" t="s">
        <v>166</v>
      </c>
      <c r="I307" t="s">
        <v>291</v>
      </c>
      <c r="J307" s="5">
        <v>2</v>
      </c>
      <c r="K307" s="3" t="str" cm="1">
        <f t="array" ref="K307">_xlfn.IFS(J307&lt;=5, "0-5", J307&lt;=10, "6-10", J307&lt;=15, "11-15", J307&lt;=20, "16-20", J307&gt;20, "21+")</f>
        <v>0-5</v>
      </c>
      <c r="L307">
        <v>75</v>
      </c>
      <c r="M307" s="4">
        <f t="shared" si="152"/>
        <v>75</v>
      </c>
      <c r="N307" s="4">
        <f t="shared" si="129"/>
        <v>75</v>
      </c>
      <c r="O307" s="5">
        <v>1.6</v>
      </c>
      <c r="P307" t="s">
        <v>64</v>
      </c>
      <c r="Q307" t="s">
        <v>54</v>
      </c>
      <c r="R307" s="1">
        <v>0.67</v>
      </c>
      <c r="S307" s="6">
        <f t="shared" ref="S307:S311" si="153">R307</f>
        <v>0.67</v>
      </c>
    </row>
    <row r="308" spans="1:19" ht="13.5" x14ac:dyDescent="0.25">
      <c r="A308" t="s">
        <v>854</v>
      </c>
      <c r="B308" t="s">
        <v>855</v>
      </c>
      <c r="C308" t="str">
        <f t="shared" si="143"/>
        <v>Robert Lucas</v>
      </c>
      <c r="D308" t="s">
        <v>31</v>
      </c>
      <c r="E308" s="3" t="str">
        <f t="shared" si="128"/>
        <v>Male</v>
      </c>
      <c r="F308" s="5">
        <v>27</v>
      </c>
      <c r="G308" t="s">
        <v>132</v>
      </c>
      <c r="H308" t="s">
        <v>133</v>
      </c>
      <c r="I308" t="s">
        <v>288</v>
      </c>
      <c r="J308" s="5">
        <v>2</v>
      </c>
      <c r="K308" s="3" t="str" cm="1">
        <f t="array" ref="K308">_xlfn.IFS(J308&lt;=5, "0-5", J308&lt;=10, "6-10", J308&lt;=15, "11-15", J308&lt;=20, "16-20", J308&gt;20, "21+")</f>
        <v>0-5</v>
      </c>
      <c r="L308" s="2">
        <v>50</v>
      </c>
      <c r="M308" s="4" t="str">
        <f>SUBSTITUTE(L308, "$","")</f>
        <v>50</v>
      </c>
      <c r="N308" s="4">
        <f t="shared" si="129"/>
        <v>50</v>
      </c>
      <c r="P308">
        <v>0</v>
      </c>
      <c r="Q308" t="s">
        <v>54</v>
      </c>
      <c r="R308" s="1">
        <v>0.84</v>
      </c>
      <c r="S308" s="6">
        <f t="shared" si="153"/>
        <v>0.84</v>
      </c>
    </row>
    <row r="309" spans="1:19" ht="13.5" x14ac:dyDescent="0.25">
      <c r="A309" t="s">
        <v>856</v>
      </c>
      <c r="B309" t="s">
        <v>857</v>
      </c>
      <c r="C309" t="str">
        <f t="shared" si="143"/>
        <v>David Cox</v>
      </c>
      <c r="D309" t="s">
        <v>328</v>
      </c>
      <c r="E309" s="3" t="str">
        <f t="shared" si="128"/>
        <v>Male</v>
      </c>
      <c r="F309" s="5">
        <v>34</v>
      </c>
      <c r="G309" t="s">
        <v>62</v>
      </c>
      <c r="H309" t="s">
        <v>63</v>
      </c>
      <c r="I309" t="s">
        <v>285</v>
      </c>
      <c r="J309" s="5">
        <v>1</v>
      </c>
      <c r="K309" s="3" t="str" cm="1">
        <f t="array" ref="K309">_xlfn.IFS(J309&lt;=5, "0-5", J309&lt;=10, "6-10", J309&lt;=15, "11-15", J309&lt;=20, "16-20", J309&gt;20, "21+")</f>
        <v>0-5</v>
      </c>
      <c r="L309">
        <v>30</v>
      </c>
      <c r="M309" s="4">
        <f>L309</f>
        <v>30</v>
      </c>
      <c r="N309" s="4">
        <f t="shared" si="129"/>
        <v>30</v>
      </c>
      <c r="O309" s="5">
        <v>3.6</v>
      </c>
      <c r="P309">
        <v>1</v>
      </c>
      <c r="Q309" t="s">
        <v>28</v>
      </c>
      <c r="R309" s="1">
        <v>0.87</v>
      </c>
      <c r="S309" s="6">
        <f t="shared" si="153"/>
        <v>0.87</v>
      </c>
    </row>
    <row r="310" spans="1:19" ht="13.5" x14ac:dyDescent="0.25">
      <c r="A310" t="s">
        <v>858</v>
      </c>
      <c r="B310" t="s">
        <v>859</v>
      </c>
      <c r="C310" t="str">
        <f t="shared" si="143"/>
        <v>Christian Campbell</v>
      </c>
      <c r="D310" t="s">
        <v>32</v>
      </c>
      <c r="E310" s="3" t="str">
        <f t="shared" si="128"/>
        <v>Male</v>
      </c>
      <c r="F310" s="5">
        <v>55</v>
      </c>
      <c r="G310" t="s">
        <v>47</v>
      </c>
      <c r="H310" t="s">
        <v>48</v>
      </c>
      <c r="I310" t="s">
        <v>284</v>
      </c>
      <c r="J310" s="5">
        <v>14</v>
      </c>
      <c r="K310" s="3" t="str" cm="1">
        <f t="array" ref="K310">_xlfn.IFS(J310&lt;=5, "0-5", J310&lt;=10, "6-10", J310&lt;=15, "11-15", J310&lt;=20, "16-20", J310&gt;20, "21+")</f>
        <v>11-15</v>
      </c>
      <c r="L310" t="s">
        <v>72</v>
      </c>
      <c r="M310" s="4" t="str">
        <f t="shared" ref="M310:M311" si="154">_xlfn.TEXTAFTER(L310, " ")</f>
        <v>30</v>
      </c>
      <c r="N310" s="4">
        <f t="shared" si="129"/>
        <v>30</v>
      </c>
      <c r="O310" s="5">
        <v>1.2</v>
      </c>
      <c r="P310" t="s">
        <v>27</v>
      </c>
      <c r="Q310" t="s">
        <v>28</v>
      </c>
      <c r="R310" s="1">
        <v>0.91</v>
      </c>
      <c r="S310" s="6">
        <f t="shared" si="153"/>
        <v>0.91</v>
      </c>
    </row>
    <row r="311" spans="1:19" ht="13.5" x14ac:dyDescent="0.25">
      <c r="A311" t="s">
        <v>860</v>
      </c>
      <c r="B311" t="s">
        <v>861</v>
      </c>
      <c r="C311" t="str">
        <f>_xlfn.TEXTAFTER(B311,". ",)</f>
        <v>Angela Ward</v>
      </c>
      <c r="D311" t="s">
        <v>301</v>
      </c>
      <c r="E311" s="3" t="str">
        <f t="shared" si="128"/>
        <v>Female</v>
      </c>
      <c r="F311" s="5">
        <v>44</v>
      </c>
      <c r="G311" t="s">
        <v>177</v>
      </c>
      <c r="H311" t="s">
        <v>178</v>
      </c>
      <c r="I311" t="s">
        <v>284</v>
      </c>
      <c r="J311" s="5">
        <v>14</v>
      </c>
      <c r="K311" s="3" t="str" cm="1">
        <f t="array" ref="K311">_xlfn.IFS(J311&lt;=5, "0-5", J311&lt;=10, "6-10", J311&lt;=15, "11-15", J311&lt;=20, "16-20", J311&gt;20, "21+")</f>
        <v>11-15</v>
      </c>
      <c r="L311" t="s">
        <v>92</v>
      </c>
      <c r="M311" s="4" t="str">
        <f t="shared" si="154"/>
        <v>75</v>
      </c>
      <c r="N311" s="4">
        <f t="shared" si="129"/>
        <v>75</v>
      </c>
      <c r="O311" s="5">
        <v>3</v>
      </c>
      <c r="P311">
        <v>0</v>
      </c>
      <c r="Q311" t="s">
        <v>54</v>
      </c>
      <c r="R311" s="1">
        <v>0.78</v>
      </c>
      <c r="S311" s="6">
        <f t="shared" si="153"/>
        <v>0.78</v>
      </c>
    </row>
    <row r="312" spans="1:19" ht="13.5" x14ac:dyDescent="0.25">
      <c r="A312" t="s">
        <v>862</v>
      </c>
      <c r="B312" t="s">
        <v>863</v>
      </c>
      <c r="C312" t="str">
        <f t="shared" ref="C312:C375" si="155">B312</f>
        <v>Lucas Chen</v>
      </c>
      <c r="D312" t="s">
        <v>31</v>
      </c>
      <c r="E312" s="3" t="str">
        <f t="shared" si="128"/>
        <v>Male</v>
      </c>
      <c r="F312" s="5">
        <v>31</v>
      </c>
      <c r="G312" t="s">
        <v>52</v>
      </c>
      <c r="H312" t="s">
        <v>53</v>
      </c>
      <c r="I312" t="s">
        <v>286</v>
      </c>
      <c r="J312" s="5">
        <v>2</v>
      </c>
      <c r="K312" s="3" t="str" cm="1">
        <f t="array" ref="K312">_xlfn.IFS(J312&lt;=5, "0-5", J312&lt;=10, "6-10", J312&lt;=15, "11-15", J312&lt;=20, "16-20", J312&gt;20, "21+")</f>
        <v>0-5</v>
      </c>
      <c r="L312">
        <v>50</v>
      </c>
      <c r="M312" s="4">
        <f t="shared" ref="M312:M314" si="156">L312</f>
        <v>50</v>
      </c>
      <c r="N312" s="4">
        <f t="shared" si="129"/>
        <v>50</v>
      </c>
      <c r="O312" s="5">
        <v>3.9</v>
      </c>
      <c r="P312">
        <v>0</v>
      </c>
      <c r="Q312" t="s">
        <v>54</v>
      </c>
      <c r="S312" s="7"/>
    </row>
    <row r="313" spans="1:19" ht="13.5" x14ac:dyDescent="0.25">
      <c r="A313" t="s">
        <v>864</v>
      </c>
      <c r="B313" t="s">
        <v>865</v>
      </c>
      <c r="C313" t="str">
        <f t="shared" si="155"/>
        <v>Ruben Nelson</v>
      </c>
      <c r="D313" t="s">
        <v>43</v>
      </c>
      <c r="E313" s="3" t="str">
        <f t="shared" si="128"/>
        <v>Male</v>
      </c>
      <c r="F313" s="5">
        <v>34</v>
      </c>
      <c r="G313" t="s">
        <v>38</v>
      </c>
      <c r="H313" t="s">
        <v>39</v>
      </c>
      <c r="I313" t="s">
        <v>283</v>
      </c>
      <c r="J313" s="5">
        <v>1</v>
      </c>
      <c r="K313" s="3" t="str" cm="1">
        <f t="array" ref="K313">_xlfn.IFS(J313&lt;=5, "0-5", J313&lt;=10, "6-10", J313&lt;=15, "11-15", J313&lt;=20, "16-20", J313&gt;20, "21+")</f>
        <v>0-5</v>
      </c>
      <c r="L313">
        <v>40</v>
      </c>
      <c r="M313" s="4">
        <f t="shared" si="156"/>
        <v>40</v>
      </c>
      <c r="N313" s="4">
        <f t="shared" si="129"/>
        <v>40</v>
      </c>
      <c r="O313" s="5">
        <v>1.7</v>
      </c>
      <c r="R313">
        <v>74</v>
      </c>
      <c r="S313" s="6">
        <f>R313/100</f>
        <v>0.74</v>
      </c>
    </row>
    <row r="314" spans="1:19" ht="13.5" x14ac:dyDescent="0.25">
      <c r="A314" t="s">
        <v>866</v>
      </c>
      <c r="B314" t="s">
        <v>867</v>
      </c>
      <c r="C314" t="str">
        <f t="shared" si="155"/>
        <v>Brenda Briggs</v>
      </c>
      <c r="D314" t="s">
        <v>301</v>
      </c>
      <c r="E314" s="3" t="str">
        <f t="shared" si="128"/>
        <v>Female</v>
      </c>
      <c r="F314" s="5">
        <v>47</v>
      </c>
      <c r="G314" t="s">
        <v>47</v>
      </c>
      <c r="H314" t="s">
        <v>48</v>
      </c>
      <c r="I314" t="s">
        <v>283</v>
      </c>
      <c r="J314" s="5">
        <v>13</v>
      </c>
      <c r="K314" s="3" t="str" cm="1">
        <f t="array" ref="K314">_xlfn.IFS(J314&lt;=5, "0-5", J314&lt;=10, "6-10", J314&lt;=15, "11-15", J314&lt;=20, "16-20", J314&gt;20, "21+")</f>
        <v>11-15</v>
      </c>
      <c r="L314">
        <v>20</v>
      </c>
      <c r="M314" s="4">
        <f t="shared" si="156"/>
        <v>20</v>
      </c>
      <c r="N314" s="4">
        <f t="shared" si="129"/>
        <v>20</v>
      </c>
      <c r="O314" s="5">
        <v>4.5</v>
      </c>
      <c r="R314" s="1">
        <v>0.91</v>
      </c>
      <c r="S314" s="6">
        <f t="shared" ref="S314:S317" si="157">R314</f>
        <v>0.91</v>
      </c>
    </row>
    <row r="315" spans="1:19" ht="13.5" x14ac:dyDescent="0.25">
      <c r="A315" t="s">
        <v>868</v>
      </c>
      <c r="B315" t="s">
        <v>869</v>
      </c>
      <c r="C315" t="str">
        <f t="shared" si="155"/>
        <v>Ronald Smith</v>
      </c>
      <c r="D315" t="s">
        <v>43</v>
      </c>
      <c r="E315" s="3" t="str">
        <f t="shared" si="128"/>
        <v>Male</v>
      </c>
      <c r="F315" s="5">
        <v>50</v>
      </c>
      <c r="G315" t="s">
        <v>183</v>
      </c>
      <c r="H315" t="s">
        <v>39</v>
      </c>
      <c r="I315" t="s">
        <v>287</v>
      </c>
      <c r="J315" s="5">
        <v>23</v>
      </c>
      <c r="K315" s="3" t="str" cm="1">
        <f t="array" ref="K315">_xlfn.IFS(J315&lt;=5, "0-5", J315&lt;=10, "6-10", J315&lt;=15, "11-15", J315&lt;=20, "16-20", J315&gt;20, "21+")</f>
        <v>21+</v>
      </c>
      <c r="L315" s="2">
        <v>40</v>
      </c>
      <c r="M315" s="4" t="str">
        <f>SUBSTITUTE(L315, "$","")</f>
        <v>40</v>
      </c>
      <c r="N315" s="4">
        <f t="shared" si="129"/>
        <v>40</v>
      </c>
      <c r="O315" s="5">
        <v>3.6</v>
      </c>
      <c r="P315" t="b">
        <v>1</v>
      </c>
      <c r="Q315" t="s">
        <v>28</v>
      </c>
      <c r="R315" s="1">
        <v>0.71</v>
      </c>
      <c r="S315" s="6">
        <f t="shared" si="157"/>
        <v>0.71</v>
      </c>
    </row>
    <row r="316" spans="1:19" ht="13.5" x14ac:dyDescent="0.25">
      <c r="A316" t="s">
        <v>870</v>
      </c>
      <c r="B316" t="s">
        <v>871</v>
      </c>
      <c r="C316" t="str">
        <f t="shared" si="155"/>
        <v>Dakota Giles</v>
      </c>
      <c r="D316" t="s">
        <v>328</v>
      </c>
      <c r="E316" s="3" t="str">
        <f t="shared" si="128"/>
        <v>Male</v>
      </c>
      <c r="F316" s="5">
        <v>39</v>
      </c>
      <c r="G316" t="s">
        <v>33</v>
      </c>
      <c r="H316" t="s">
        <v>34</v>
      </c>
      <c r="I316" t="s">
        <v>288</v>
      </c>
      <c r="K316" s="3" t="str" cm="1">
        <f t="array" ref="K316">_xlfn.IFS(J316&lt;=5, "0-5", J316&lt;=10, "6-10", J316&lt;=15, "11-15", J316&lt;=20, "16-20", J316&gt;20, "21+")</f>
        <v>0-5</v>
      </c>
      <c r="L316" t="s">
        <v>92</v>
      </c>
      <c r="M316" s="4" t="str">
        <f t="shared" ref="M316:M317" si="158">_xlfn.TEXTAFTER(L316, " ")</f>
        <v>75</v>
      </c>
      <c r="N316" s="4">
        <f t="shared" si="129"/>
        <v>75</v>
      </c>
      <c r="O316" s="5">
        <v>3.6</v>
      </c>
      <c r="P316" t="s">
        <v>57</v>
      </c>
      <c r="Q316" t="s">
        <v>28</v>
      </c>
      <c r="R316" s="1">
        <v>0.87</v>
      </c>
      <c r="S316" s="6">
        <f t="shared" si="157"/>
        <v>0.87</v>
      </c>
    </row>
    <row r="317" spans="1:19" ht="13.5" x14ac:dyDescent="0.25">
      <c r="A317" t="s">
        <v>872</v>
      </c>
      <c r="B317" t="s">
        <v>873</v>
      </c>
      <c r="C317" t="str">
        <f t="shared" si="155"/>
        <v>Angela Castillo</v>
      </c>
      <c r="D317" t="s">
        <v>21</v>
      </c>
      <c r="E317" s="3" t="str">
        <f t="shared" si="128"/>
        <v>Female</v>
      </c>
      <c r="F317" s="5">
        <v>26</v>
      </c>
      <c r="G317" t="s">
        <v>23</v>
      </c>
      <c r="H317" t="s">
        <v>24</v>
      </c>
      <c r="I317" t="s">
        <v>292</v>
      </c>
      <c r="J317" s="5">
        <v>3</v>
      </c>
      <c r="K317" s="3" t="str" cm="1">
        <f t="array" ref="K317">_xlfn.IFS(J317&lt;=5, "0-5", J317&lt;=10, "6-10", J317&lt;=15, "11-15", J317&lt;=20, "16-20", J317&gt;20, "21+")</f>
        <v>0-5</v>
      </c>
      <c r="L317" t="s">
        <v>40</v>
      </c>
      <c r="M317" s="4" t="str">
        <f t="shared" si="158"/>
        <v>100</v>
      </c>
      <c r="N317" s="4">
        <f t="shared" si="129"/>
        <v>100</v>
      </c>
      <c r="O317" s="5">
        <v>2.8</v>
      </c>
      <c r="P317">
        <v>1</v>
      </c>
      <c r="Q317" t="s">
        <v>28</v>
      </c>
      <c r="R317" s="1">
        <v>0.61</v>
      </c>
      <c r="S317" s="6">
        <f t="shared" si="157"/>
        <v>0.61</v>
      </c>
    </row>
    <row r="318" spans="1:19" ht="13.5" x14ac:dyDescent="0.25">
      <c r="A318" t="s">
        <v>874</v>
      </c>
      <c r="B318" t="s">
        <v>875</v>
      </c>
      <c r="C318" t="str">
        <f t="shared" si="155"/>
        <v>Allen Lee</v>
      </c>
      <c r="D318" t="s">
        <v>328</v>
      </c>
      <c r="E318" s="3" t="str">
        <f t="shared" si="128"/>
        <v>Male</v>
      </c>
      <c r="G318" t="s">
        <v>52</v>
      </c>
      <c r="H318" t="s">
        <v>53</v>
      </c>
      <c r="I318" t="s">
        <v>283</v>
      </c>
      <c r="J318" s="5">
        <v>0</v>
      </c>
      <c r="K318" s="3" t="str" cm="1">
        <f t="array" ref="K318">_xlfn.IFS(J318&lt;=5, "0-5", J318&lt;=10, "6-10", J318&lt;=15, "11-15", J318&lt;=20, "16-20", J318&gt;20, "21+")</f>
        <v>0-5</v>
      </c>
      <c r="L318" s="2">
        <v>100</v>
      </c>
      <c r="M318" s="4" t="str">
        <f>SUBSTITUTE(L318, "$","")</f>
        <v>100</v>
      </c>
      <c r="N318" s="4">
        <f t="shared" si="129"/>
        <v>100</v>
      </c>
      <c r="O318" s="5">
        <v>5</v>
      </c>
      <c r="P318" t="s">
        <v>64</v>
      </c>
      <c r="Q318" t="s">
        <v>54</v>
      </c>
      <c r="S318" s="7"/>
    </row>
    <row r="319" spans="1:19" ht="13.5" x14ac:dyDescent="0.25">
      <c r="A319" t="s">
        <v>876</v>
      </c>
      <c r="B319" t="s">
        <v>877</v>
      </c>
      <c r="C319" t="str">
        <f t="shared" si="155"/>
        <v>Michael Rogers</v>
      </c>
      <c r="D319" t="s">
        <v>31</v>
      </c>
      <c r="E319" s="3" t="str">
        <f t="shared" si="128"/>
        <v>Male</v>
      </c>
      <c r="F319" s="5">
        <v>32</v>
      </c>
      <c r="G319" t="s">
        <v>33</v>
      </c>
      <c r="H319" t="s">
        <v>34</v>
      </c>
      <c r="I319" t="s">
        <v>287</v>
      </c>
      <c r="J319" s="5">
        <v>0</v>
      </c>
      <c r="K319" s="3" t="str" cm="1">
        <f t="array" ref="K319">_xlfn.IFS(J319&lt;=5, "0-5", J319&lt;=10, "6-10", J319&lt;=15, "11-15", J319&lt;=20, "16-20", J319&gt;20, "21+")</f>
        <v>0-5</v>
      </c>
      <c r="L319">
        <v>100</v>
      </c>
      <c r="M319" s="4">
        <f t="shared" ref="M319:M320" si="159">L319</f>
        <v>100</v>
      </c>
      <c r="N319" s="4">
        <f t="shared" si="129"/>
        <v>100</v>
      </c>
      <c r="O319" s="5">
        <v>1.4</v>
      </c>
      <c r="P319">
        <v>1</v>
      </c>
      <c r="Q319" t="s">
        <v>28</v>
      </c>
      <c r="R319" s="1">
        <v>0.81</v>
      </c>
      <c r="S319" s="6">
        <f>R319</f>
        <v>0.81</v>
      </c>
    </row>
    <row r="320" spans="1:19" ht="13.5" x14ac:dyDescent="0.25">
      <c r="A320" t="s">
        <v>878</v>
      </c>
      <c r="B320" t="s">
        <v>879</v>
      </c>
      <c r="C320" t="str">
        <f t="shared" si="155"/>
        <v>Danielle Costa</v>
      </c>
      <c r="D320" t="s">
        <v>22</v>
      </c>
      <c r="E320" s="3" t="str">
        <f t="shared" si="128"/>
        <v>Female</v>
      </c>
      <c r="F320" s="5">
        <v>55</v>
      </c>
      <c r="G320" t="s">
        <v>95</v>
      </c>
      <c r="H320" t="s">
        <v>96</v>
      </c>
      <c r="I320" t="s">
        <v>291</v>
      </c>
      <c r="J320" s="5">
        <v>17</v>
      </c>
      <c r="K320" s="3" t="str" cm="1">
        <f t="array" ref="K320">_xlfn.IFS(J320&lt;=5, "0-5", J320&lt;=10, "6-10", J320&lt;=15, "11-15", J320&lt;=20, "16-20", J320&gt;20, "21+")</f>
        <v>16-20</v>
      </c>
      <c r="L320">
        <v>30</v>
      </c>
      <c r="M320" s="4">
        <f t="shared" si="159"/>
        <v>30</v>
      </c>
      <c r="N320" s="4">
        <f t="shared" si="129"/>
        <v>30</v>
      </c>
      <c r="S320" s="7"/>
    </row>
    <row r="321" spans="1:19" ht="13.5" x14ac:dyDescent="0.25">
      <c r="A321" t="s">
        <v>880</v>
      </c>
      <c r="B321" t="s">
        <v>881</v>
      </c>
      <c r="C321" t="str">
        <f t="shared" si="155"/>
        <v>William Nunez</v>
      </c>
      <c r="D321" t="s">
        <v>328</v>
      </c>
      <c r="E321" s="3" t="str">
        <f t="shared" si="128"/>
        <v>Male</v>
      </c>
      <c r="F321" s="5">
        <v>32</v>
      </c>
      <c r="G321" t="s">
        <v>23</v>
      </c>
      <c r="H321" t="s">
        <v>24</v>
      </c>
      <c r="I321" t="s">
        <v>284</v>
      </c>
      <c r="J321" s="5">
        <v>9</v>
      </c>
      <c r="K321" s="3" t="str" cm="1">
        <f t="array" ref="K321">_xlfn.IFS(J321&lt;=5, "0-5", J321&lt;=10, "6-10", J321&lt;=15, "11-15", J321&lt;=20, "16-20", J321&gt;20, "21+")</f>
        <v>6-10</v>
      </c>
      <c r="L321" t="s">
        <v>99</v>
      </c>
      <c r="M321" s="4" t="str">
        <f t="shared" ref="M321" si="160">_xlfn.TEXTAFTER(L321, " ")</f>
        <v>40</v>
      </c>
      <c r="N321" s="4">
        <f t="shared" si="129"/>
        <v>40</v>
      </c>
      <c r="O321" s="5">
        <v>4.5999999999999996</v>
      </c>
      <c r="P321">
        <v>1</v>
      </c>
      <c r="Q321" t="s">
        <v>28</v>
      </c>
      <c r="R321" s="1">
        <v>0.84</v>
      </c>
      <c r="S321" s="6">
        <f>R321</f>
        <v>0.84</v>
      </c>
    </row>
    <row r="322" spans="1:19" ht="13.5" x14ac:dyDescent="0.25">
      <c r="A322" t="s">
        <v>882</v>
      </c>
      <c r="B322" t="s">
        <v>883</v>
      </c>
      <c r="C322" t="str">
        <f t="shared" si="155"/>
        <v>Christopher Riggs</v>
      </c>
      <c r="D322" t="s">
        <v>43</v>
      </c>
      <c r="E322" s="3" t="str">
        <f t="shared" si="128"/>
        <v>Male</v>
      </c>
      <c r="F322" s="5">
        <v>30</v>
      </c>
      <c r="G322" t="s">
        <v>62</v>
      </c>
      <c r="H322" t="s">
        <v>63</v>
      </c>
      <c r="I322" t="s">
        <v>292</v>
      </c>
      <c r="J322" s="5">
        <v>4</v>
      </c>
      <c r="K322" s="3" t="str" cm="1">
        <f t="array" ref="K322">_xlfn.IFS(J322&lt;=5, "0-5", J322&lt;=10, "6-10", J322&lt;=15, "11-15", J322&lt;=20, "16-20", J322&gt;20, "21+")</f>
        <v>0-5</v>
      </c>
      <c r="L322" s="2">
        <v>20</v>
      </c>
      <c r="M322" s="4" t="str">
        <f t="shared" ref="M322:M323" si="161">SUBSTITUTE(L322, "$","")</f>
        <v>20</v>
      </c>
      <c r="N322" s="4">
        <f t="shared" si="129"/>
        <v>20</v>
      </c>
      <c r="O322" s="5">
        <v>3.3</v>
      </c>
      <c r="P322" t="s">
        <v>81</v>
      </c>
      <c r="Q322" t="s">
        <v>54</v>
      </c>
      <c r="S322" s="7"/>
    </row>
    <row r="323" spans="1:19" ht="13.5" x14ac:dyDescent="0.25">
      <c r="A323" t="s">
        <v>884</v>
      </c>
      <c r="B323" t="s">
        <v>885</v>
      </c>
      <c r="C323" t="str">
        <f t="shared" si="155"/>
        <v>Kathryn Myers</v>
      </c>
      <c r="D323" t="s">
        <v>304</v>
      </c>
      <c r="E323" s="3" t="str">
        <f t="shared" ref="E323:E386" si="162">IF(LOWER(LEFT(D323,1)) = "f", "Female", "Male")</f>
        <v>Female</v>
      </c>
      <c r="F323" s="5">
        <v>37</v>
      </c>
      <c r="G323" t="s">
        <v>125</v>
      </c>
      <c r="H323" t="s">
        <v>39</v>
      </c>
      <c r="I323" t="s">
        <v>288</v>
      </c>
      <c r="J323" s="5">
        <v>0</v>
      </c>
      <c r="K323" s="3" t="str" cm="1">
        <f t="array" ref="K323">_xlfn.IFS(J323&lt;=5, "0-5", J323&lt;=10, "6-10", J323&lt;=15, "11-15", J323&lt;=20, "16-20", J323&gt;20, "21+")</f>
        <v>0-5</v>
      </c>
      <c r="L323" s="2">
        <v>40</v>
      </c>
      <c r="M323" s="4" t="str">
        <f t="shared" si="161"/>
        <v>40</v>
      </c>
      <c r="N323" s="4">
        <f t="shared" ref="N323:N386" si="163">IF(M323="","NA",ROUND(M323,0))</f>
        <v>40</v>
      </c>
      <c r="O323" s="5">
        <v>3.7</v>
      </c>
      <c r="P323">
        <v>1</v>
      </c>
      <c r="Q323" t="s">
        <v>28</v>
      </c>
      <c r="S323" s="7"/>
    </row>
    <row r="324" spans="1:19" ht="13.5" x14ac:dyDescent="0.25">
      <c r="A324" t="s">
        <v>886</v>
      </c>
      <c r="B324" t="s">
        <v>887</v>
      </c>
      <c r="C324" t="str">
        <f t="shared" si="155"/>
        <v>Robert Walls</v>
      </c>
      <c r="D324" t="s">
        <v>328</v>
      </c>
      <c r="E324" s="3" t="str">
        <f t="shared" si="162"/>
        <v>Male</v>
      </c>
      <c r="F324" s="5">
        <v>52</v>
      </c>
      <c r="G324" t="s">
        <v>47</v>
      </c>
      <c r="H324" t="s">
        <v>48</v>
      </c>
      <c r="I324" t="s">
        <v>287</v>
      </c>
      <c r="J324" s="5">
        <v>33</v>
      </c>
      <c r="K324" s="3" t="str" cm="1">
        <f t="array" ref="K324">_xlfn.IFS(J324&lt;=5, "0-5", J324&lt;=10, "6-10", J324&lt;=15, "11-15", J324&lt;=20, "16-20", J324&gt;20, "21+")</f>
        <v>21+</v>
      </c>
      <c r="N324" s="4" t="str">
        <f t="shared" si="163"/>
        <v>NA</v>
      </c>
      <c r="O324" s="5">
        <v>0</v>
      </c>
      <c r="P324">
        <v>1</v>
      </c>
      <c r="Q324" t="s">
        <v>28</v>
      </c>
      <c r="R324" s="1">
        <v>0.6</v>
      </c>
      <c r="S324" s="6">
        <f t="shared" ref="S324:S327" si="164">R324</f>
        <v>0.6</v>
      </c>
    </row>
    <row r="325" spans="1:19" ht="13.5" x14ac:dyDescent="0.25">
      <c r="A325" t="s">
        <v>888</v>
      </c>
      <c r="B325" t="s">
        <v>889</v>
      </c>
      <c r="C325" t="str">
        <f t="shared" si="155"/>
        <v>Justin Johnson</v>
      </c>
      <c r="D325" t="s">
        <v>32</v>
      </c>
      <c r="E325" s="3" t="str">
        <f t="shared" si="162"/>
        <v>Male</v>
      </c>
      <c r="F325" s="5">
        <v>48</v>
      </c>
      <c r="G325" t="s">
        <v>146</v>
      </c>
      <c r="H325" t="s">
        <v>147</v>
      </c>
      <c r="I325" t="s">
        <v>288</v>
      </c>
      <c r="J325" s="5">
        <v>18</v>
      </c>
      <c r="K325" s="3" t="str" cm="1">
        <f t="array" ref="K325">_xlfn.IFS(J325&lt;=5, "0-5", J325&lt;=10, "6-10", J325&lt;=15, "11-15", J325&lt;=20, "16-20", J325&gt;20, "21+")</f>
        <v>16-20</v>
      </c>
      <c r="L325">
        <v>50</v>
      </c>
      <c r="M325" s="4">
        <f t="shared" ref="M325:M329" si="165">L325</f>
        <v>50</v>
      </c>
      <c r="N325" s="4">
        <f t="shared" si="163"/>
        <v>50</v>
      </c>
      <c r="O325" s="5">
        <v>0</v>
      </c>
      <c r="P325" t="s">
        <v>57</v>
      </c>
      <c r="Q325" t="s">
        <v>28</v>
      </c>
      <c r="R325" s="1">
        <v>0.64</v>
      </c>
      <c r="S325" s="6">
        <f t="shared" si="164"/>
        <v>0.64</v>
      </c>
    </row>
    <row r="326" spans="1:19" ht="13.5" x14ac:dyDescent="0.25">
      <c r="A326" t="s">
        <v>890</v>
      </c>
      <c r="B326" t="s">
        <v>891</v>
      </c>
      <c r="C326" t="str">
        <f t="shared" si="155"/>
        <v>Paula Stevens</v>
      </c>
      <c r="D326" t="s">
        <v>21</v>
      </c>
      <c r="E326" s="3" t="str">
        <f t="shared" si="162"/>
        <v>Female</v>
      </c>
      <c r="F326" s="5">
        <v>28</v>
      </c>
      <c r="G326" t="s">
        <v>88</v>
      </c>
      <c r="H326" t="s">
        <v>89</v>
      </c>
      <c r="I326" t="s">
        <v>285</v>
      </c>
      <c r="J326" s="5">
        <v>9</v>
      </c>
      <c r="K326" s="3" t="str" cm="1">
        <f t="array" ref="K326">_xlfn.IFS(J326&lt;=5, "0-5", J326&lt;=10, "6-10", J326&lt;=15, "11-15", J326&lt;=20, "16-20", J326&gt;20, "21+")</f>
        <v>6-10</v>
      </c>
      <c r="L326">
        <v>40</v>
      </c>
      <c r="M326" s="4">
        <f t="shared" si="165"/>
        <v>40</v>
      </c>
      <c r="N326" s="4">
        <f t="shared" si="163"/>
        <v>40</v>
      </c>
      <c r="P326">
        <v>1</v>
      </c>
      <c r="Q326" t="s">
        <v>28</v>
      </c>
      <c r="R326" s="1">
        <v>0.64</v>
      </c>
      <c r="S326" s="6">
        <f t="shared" si="164"/>
        <v>0.64</v>
      </c>
    </row>
    <row r="327" spans="1:19" ht="13.5" x14ac:dyDescent="0.25">
      <c r="A327" t="s">
        <v>892</v>
      </c>
      <c r="B327" t="s">
        <v>893</v>
      </c>
      <c r="C327" t="str">
        <f t="shared" si="155"/>
        <v>Jennifer Allen</v>
      </c>
      <c r="D327" t="s">
        <v>21</v>
      </c>
      <c r="E327" s="3" t="str">
        <f t="shared" si="162"/>
        <v>Female</v>
      </c>
      <c r="F327" s="5">
        <v>58</v>
      </c>
      <c r="G327" t="s">
        <v>84</v>
      </c>
      <c r="H327" t="s">
        <v>24</v>
      </c>
      <c r="I327" t="s">
        <v>291</v>
      </c>
      <c r="J327" s="5">
        <v>40</v>
      </c>
      <c r="K327" s="3" t="str" cm="1">
        <f t="array" ref="K327">_xlfn.IFS(J327&lt;=5, "0-5", J327&lt;=10, "6-10", J327&lt;=15, "11-15", J327&lt;=20, "16-20", J327&gt;20, "21+")</f>
        <v>21+</v>
      </c>
      <c r="L327">
        <v>75</v>
      </c>
      <c r="M327" s="4">
        <f t="shared" si="165"/>
        <v>75</v>
      </c>
      <c r="N327" s="4">
        <f t="shared" si="163"/>
        <v>75</v>
      </c>
      <c r="O327" s="5">
        <v>3.4</v>
      </c>
      <c r="P327">
        <v>1</v>
      </c>
      <c r="Q327" t="s">
        <v>28</v>
      </c>
      <c r="R327" s="1">
        <v>1</v>
      </c>
      <c r="S327" s="6">
        <f t="shared" si="164"/>
        <v>1</v>
      </c>
    </row>
    <row r="328" spans="1:19" ht="13.5" x14ac:dyDescent="0.25">
      <c r="A328" t="s">
        <v>894</v>
      </c>
      <c r="B328" t="s">
        <v>895</v>
      </c>
      <c r="C328" t="str">
        <f t="shared" si="155"/>
        <v>Mark Hudson</v>
      </c>
      <c r="D328" t="s">
        <v>31</v>
      </c>
      <c r="E328" s="3" t="str">
        <f t="shared" si="162"/>
        <v>Male</v>
      </c>
      <c r="F328" s="5">
        <v>30</v>
      </c>
      <c r="G328" t="s">
        <v>23</v>
      </c>
      <c r="H328" t="s">
        <v>24</v>
      </c>
      <c r="I328" t="s">
        <v>290</v>
      </c>
      <c r="J328" s="5">
        <v>1</v>
      </c>
      <c r="K328" s="3" t="str" cm="1">
        <f t="array" ref="K328">_xlfn.IFS(J328&lt;=5, "0-5", J328&lt;=10, "6-10", J328&lt;=15, "11-15", J328&lt;=20, "16-20", J328&gt;20, "21+")</f>
        <v>0-5</v>
      </c>
      <c r="L328">
        <v>40</v>
      </c>
      <c r="M328" s="4">
        <f t="shared" si="165"/>
        <v>40</v>
      </c>
      <c r="N328" s="4">
        <f t="shared" si="163"/>
        <v>40</v>
      </c>
      <c r="O328" s="5">
        <v>1.6</v>
      </c>
      <c r="P328" t="b">
        <v>1</v>
      </c>
      <c r="Q328" t="s">
        <v>28</v>
      </c>
      <c r="R328">
        <v>100</v>
      </c>
      <c r="S328" s="6">
        <f>R328/100</f>
        <v>1</v>
      </c>
    </row>
    <row r="329" spans="1:19" ht="13.5" x14ac:dyDescent="0.25">
      <c r="A329" t="s">
        <v>896</v>
      </c>
      <c r="B329" t="s">
        <v>897</v>
      </c>
      <c r="C329" t="str">
        <f t="shared" si="155"/>
        <v>Jessica Smith</v>
      </c>
      <c r="D329" t="s">
        <v>22</v>
      </c>
      <c r="E329" s="3" t="str">
        <f t="shared" si="162"/>
        <v>Female</v>
      </c>
      <c r="F329" s="5">
        <v>47</v>
      </c>
      <c r="G329" t="s">
        <v>165</v>
      </c>
      <c r="H329" t="s">
        <v>166</v>
      </c>
      <c r="I329" t="s">
        <v>285</v>
      </c>
      <c r="J329" s="5">
        <v>5</v>
      </c>
      <c r="K329" s="3" t="str" cm="1">
        <f t="array" ref="K329">_xlfn.IFS(J329&lt;=5, "0-5", J329&lt;=10, "6-10", J329&lt;=15, "11-15", J329&lt;=20, "16-20", J329&gt;20, "21+")</f>
        <v>0-5</v>
      </c>
      <c r="L329">
        <v>20</v>
      </c>
      <c r="M329" s="4">
        <f t="shared" si="165"/>
        <v>20</v>
      </c>
      <c r="N329" s="4">
        <f t="shared" si="163"/>
        <v>20</v>
      </c>
      <c r="O329" s="5">
        <v>1.9</v>
      </c>
      <c r="P329">
        <v>0</v>
      </c>
      <c r="Q329" t="s">
        <v>54</v>
      </c>
      <c r="S329" s="7"/>
    </row>
    <row r="330" spans="1:19" ht="13.5" x14ac:dyDescent="0.25">
      <c r="A330" t="s">
        <v>255</v>
      </c>
      <c r="B330" t="s">
        <v>256</v>
      </c>
      <c r="C330" t="str">
        <f t="shared" si="155"/>
        <v>Mike Dean</v>
      </c>
      <c r="D330" t="s">
        <v>31</v>
      </c>
      <c r="E330" s="3" t="str">
        <f t="shared" si="162"/>
        <v>Male</v>
      </c>
      <c r="F330" s="5">
        <v>44</v>
      </c>
      <c r="G330" t="s">
        <v>23</v>
      </c>
      <c r="H330" t="s">
        <v>24</v>
      </c>
      <c r="I330" t="s">
        <v>25</v>
      </c>
      <c r="J330" s="5">
        <v>4</v>
      </c>
      <c r="K330" s="3" t="str" cm="1">
        <f t="array" ref="K330">_xlfn.IFS(J330&lt;=5, "0-5", J330&lt;=10, "6-10", J330&lt;=15, "11-15", J330&lt;=20, "16-20", J330&gt;20, "21+")</f>
        <v>0-5</v>
      </c>
      <c r="L330" s="2">
        <v>50</v>
      </c>
      <c r="M330" s="4" t="str">
        <f>SUBSTITUTE(L330, "$","")</f>
        <v>50</v>
      </c>
      <c r="N330" s="4">
        <f t="shared" si="163"/>
        <v>50</v>
      </c>
      <c r="O330" s="5">
        <v>0</v>
      </c>
      <c r="P330" t="b">
        <v>1</v>
      </c>
      <c r="Q330" t="s">
        <v>28</v>
      </c>
      <c r="R330" s="1">
        <v>0.83</v>
      </c>
      <c r="S330" s="6">
        <f t="shared" ref="S330:S334" si="166">R330</f>
        <v>0.83</v>
      </c>
    </row>
    <row r="331" spans="1:19" ht="13.5" x14ac:dyDescent="0.25">
      <c r="A331" t="s">
        <v>898</v>
      </c>
      <c r="B331" t="s">
        <v>899</v>
      </c>
      <c r="C331" t="str">
        <f t="shared" si="155"/>
        <v>Jose Wilson</v>
      </c>
      <c r="D331" t="s">
        <v>328</v>
      </c>
      <c r="E331" s="3" t="str">
        <f t="shared" si="162"/>
        <v>Male</v>
      </c>
      <c r="F331" s="5">
        <v>56</v>
      </c>
      <c r="G331" t="s">
        <v>253</v>
      </c>
      <c r="H331" t="s">
        <v>254</v>
      </c>
      <c r="I331" t="s">
        <v>284</v>
      </c>
      <c r="J331" s="5">
        <v>13</v>
      </c>
      <c r="K331" s="3" t="str" cm="1">
        <f t="array" ref="K331">_xlfn.IFS(J331&lt;=5, "0-5", J331&lt;=10, "6-10", J331&lt;=15, "11-15", J331&lt;=20, "16-20", J331&gt;20, "21+")</f>
        <v>11-15</v>
      </c>
      <c r="L331" t="s">
        <v>99</v>
      </c>
      <c r="M331" s="4" t="str">
        <f t="shared" ref="M331" si="167">_xlfn.TEXTAFTER(L331, " ")</f>
        <v>40</v>
      </c>
      <c r="N331" s="4">
        <f t="shared" si="163"/>
        <v>40</v>
      </c>
      <c r="P331">
        <v>1</v>
      </c>
      <c r="Q331" t="s">
        <v>28</v>
      </c>
      <c r="R331" s="1">
        <v>0.87</v>
      </c>
      <c r="S331" s="6">
        <f t="shared" si="166"/>
        <v>0.87</v>
      </c>
    </row>
    <row r="332" spans="1:19" ht="13.5" x14ac:dyDescent="0.25">
      <c r="A332" t="s">
        <v>900</v>
      </c>
      <c r="B332" t="s">
        <v>901</v>
      </c>
      <c r="C332" t="str">
        <f t="shared" si="155"/>
        <v>Tammy Hill</v>
      </c>
      <c r="D332" t="s">
        <v>22</v>
      </c>
      <c r="E332" s="3" t="str">
        <f t="shared" si="162"/>
        <v>Female</v>
      </c>
      <c r="F332" s="5">
        <v>53</v>
      </c>
      <c r="G332" t="s">
        <v>183</v>
      </c>
      <c r="H332" t="s">
        <v>39</v>
      </c>
      <c r="I332" t="s">
        <v>285</v>
      </c>
      <c r="J332" s="5">
        <v>33</v>
      </c>
      <c r="K332" s="3" t="str" cm="1">
        <f t="array" ref="K332">_xlfn.IFS(J332&lt;=5, "0-5", J332&lt;=10, "6-10", J332&lt;=15, "11-15", J332&lt;=20, "16-20", J332&gt;20, "21+")</f>
        <v>21+</v>
      </c>
      <c r="L332" s="2">
        <v>100</v>
      </c>
      <c r="M332" s="4" t="str">
        <f>SUBSTITUTE(L332, "$","")</f>
        <v>100</v>
      </c>
      <c r="N332" s="4">
        <f t="shared" si="163"/>
        <v>100</v>
      </c>
      <c r="P332" t="s">
        <v>81</v>
      </c>
      <c r="Q332" t="s">
        <v>54</v>
      </c>
      <c r="R332" s="1">
        <v>0.75</v>
      </c>
      <c r="S332" s="6">
        <f t="shared" si="166"/>
        <v>0.75</v>
      </c>
    </row>
    <row r="333" spans="1:19" ht="13.5" x14ac:dyDescent="0.25">
      <c r="A333" t="s">
        <v>902</v>
      </c>
      <c r="B333" t="s">
        <v>903</v>
      </c>
      <c r="C333" t="str">
        <f t="shared" si="155"/>
        <v>Nathaniel Flores</v>
      </c>
      <c r="D333" t="s">
        <v>311</v>
      </c>
      <c r="E333" s="3" t="str">
        <f t="shared" si="162"/>
        <v>Male</v>
      </c>
      <c r="F333" s="5">
        <v>59</v>
      </c>
      <c r="G333" t="s">
        <v>152</v>
      </c>
      <c r="H333" t="s">
        <v>39</v>
      </c>
      <c r="I333" t="s">
        <v>285</v>
      </c>
      <c r="J333" s="5">
        <v>22</v>
      </c>
      <c r="K333" s="3" t="str" cm="1">
        <f t="array" ref="K333">_xlfn.IFS(J333&lt;=5, "0-5", J333&lt;=10, "6-10", J333&lt;=15, "11-15", J333&lt;=20, "16-20", J333&gt;20, "21+")</f>
        <v>21+</v>
      </c>
      <c r="L333">
        <v>40</v>
      </c>
      <c r="M333" s="4">
        <f>L333</f>
        <v>40</v>
      </c>
      <c r="N333" s="4">
        <f t="shared" si="163"/>
        <v>40</v>
      </c>
      <c r="O333" s="5">
        <v>1.1000000000000001</v>
      </c>
      <c r="P333" t="s">
        <v>27</v>
      </c>
      <c r="Q333" t="s">
        <v>28</v>
      </c>
      <c r="R333" s="1">
        <v>0.61</v>
      </c>
      <c r="S333" s="6">
        <f t="shared" si="166"/>
        <v>0.61</v>
      </c>
    </row>
    <row r="334" spans="1:19" ht="13.5" x14ac:dyDescent="0.25">
      <c r="A334" t="s">
        <v>904</v>
      </c>
      <c r="B334" t="s">
        <v>905</v>
      </c>
      <c r="C334" t="str">
        <f t="shared" si="155"/>
        <v>Edwin Carter</v>
      </c>
      <c r="D334" t="s">
        <v>328</v>
      </c>
      <c r="E334" s="3" t="str">
        <f t="shared" si="162"/>
        <v>Male</v>
      </c>
      <c r="F334" s="5">
        <v>60</v>
      </c>
      <c r="G334" t="s">
        <v>183</v>
      </c>
      <c r="H334" t="s">
        <v>39</v>
      </c>
      <c r="I334" t="s">
        <v>283</v>
      </c>
      <c r="J334" s="5">
        <v>34</v>
      </c>
      <c r="K334" s="3" t="str" cm="1">
        <f t="array" ref="K334">_xlfn.IFS(J334&lt;=5, "0-5", J334&lt;=10, "6-10", J334&lt;=15, "11-15", J334&lt;=20, "16-20", J334&gt;20, "21+")</f>
        <v>21+</v>
      </c>
      <c r="N334" s="4" t="str">
        <f t="shared" si="163"/>
        <v>NA</v>
      </c>
      <c r="O334" s="5">
        <v>2.5</v>
      </c>
      <c r="P334" t="b">
        <v>0</v>
      </c>
      <c r="Q334" t="s">
        <v>54</v>
      </c>
      <c r="R334" s="1">
        <v>0.93</v>
      </c>
      <c r="S334" s="6">
        <f t="shared" si="166"/>
        <v>0.93</v>
      </c>
    </row>
    <row r="335" spans="1:19" ht="13.5" x14ac:dyDescent="0.25">
      <c r="A335" t="s">
        <v>906</v>
      </c>
      <c r="B335" t="s">
        <v>907</v>
      </c>
      <c r="C335" t="str">
        <f t="shared" si="155"/>
        <v>Patricia Miller</v>
      </c>
      <c r="D335" t="s">
        <v>21</v>
      </c>
      <c r="E335" s="3" t="str">
        <f t="shared" si="162"/>
        <v>Female</v>
      </c>
      <c r="F335" s="5">
        <v>33</v>
      </c>
      <c r="G335" t="s">
        <v>33</v>
      </c>
      <c r="H335" t="s">
        <v>34</v>
      </c>
      <c r="I335" t="s">
        <v>285</v>
      </c>
      <c r="J335" s="5">
        <v>8</v>
      </c>
      <c r="K335" s="3" t="str" cm="1">
        <f t="array" ref="K335">_xlfn.IFS(J335&lt;=5, "0-5", J335&lt;=10, "6-10", J335&lt;=15, "11-15", J335&lt;=20, "16-20", J335&gt;20, "21+")</f>
        <v>6-10</v>
      </c>
      <c r="L335" t="s">
        <v>72</v>
      </c>
      <c r="M335" s="4" t="str">
        <f t="shared" ref="M335:M336" si="168">_xlfn.TEXTAFTER(L335, " ")</f>
        <v>30</v>
      </c>
      <c r="N335" s="4">
        <f t="shared" si="163"/>
        <v>30</v>
      </c>
      <c r="O335" s="5">
        <v>3.6</v>
      </c>
      <c r="P335">
        <v>1</v>
      </c>
      <c r="Q335" t="s">
        <v>28</v>
      </c>
      <c r="S335" s="7"/>
    </row>
    <row r="336" spans="1:19" ht="13.5" x14ac:dyDescent="0.25">
      <c r="A336" t="s">
        <v>908</v>
      </c>
      <c r="B336" t="s">
        <v>909</v>
      </c>
      <c r="C336" t="str">
        <f t="shared" si="155"/>
        <v>Rebecca Schneider</v>
      </c>
      <c r="D336" t="s">
        <v>22</v>
      </c>
      <c r="E336" s="3" t="str">
        <f t="shared" si="162"/>
        <v>Female</v>
      </c>
      <c r="F336" s="5">
        <v>21</v>
      </c>
      <c r="G336" t="s">
        <v>23</v>
      </c>
      <c r="H336" t="s">
        <v>24</v>
      </c>
      <c r="I336" t="s">
        <v>290</v>
      </c>
      <c r="J336" s="5">
        <v>1</v>
      </c>
      <c r="K336" s="3" t="str" cm="1">
        <f t="array" ref="K336">_xlfn.IFS(J336&lt;=5, "0-5", J336&lt;=10, "6-10", J336&lt;=15, "11-15", J336&lt;=20, "16-20", J336&gt;20, "21+")</f>
        <v>0-5</v>
      </c>
      <c r="L336" t="s">
        <v>78</v>
      </c>
      <c r="M336" s="4" t="str">
        <f t="shared" si="168"/>
        <v>20</v>
      </c>
      <c r="N336" s="4">
        <f t="shared" si="163"/>
        <v>20</v>
      </c>
      <c r="P336" t="b">
        <v>0</v>
      </c>
      <c r="Q336" t="s">
        <v>54</v>
      </c>
      <c r="R336" s="1">
        <v>0.99</v>
      </c>
      <c r="S336" s="6">
        <f>R336</f>
        <v>0.99</v>
      </c>
    </row>
    <row r="337" spans="1:19" ht="13.5" x14ac:dyDescent="0.25">
      <c r="A337" t="s">
        <v>910</v>
      </c>
      <c r="B337" t="s">
        <v>911</v>
      </c>
      <c r="C337" t="str">
        <f t="shared" si="155"/>
        <v>John Greene</v>
      </c>
      <c r="D337" t="s">
        <v>31</v>
      </c>
      <c r="E337" s="3" t="str">
        <f t="shared" si="162"/>
        <v>Male</v>
      </c>
      <c r="F337" s="5">
        <v>54</v>
      </c>
      <c r="G337" t="s">
        <v>152</v>
      </c>
      <c r="H337" t="s">
        <v>39</v>
      </c>
      <c r="I337" t="s">
        <v>286</v>
      </c>
      <c r="J337" s="5">
        <v>20</v>
      </c>
      <c r="K337" s="3" t="str" cm="1">
        <f t="array" ref="K337">_xlfn.IFS(J337&lt;=5, "0-5", J337&lt;=10, "6-10", J337&lt;=15, "11-15", J337&lt;=20, "16-20", J337&gt;20, "21+")</f>
        <v>16-20</v>
      </c>
      <c r="L337">
        <v>50</v>
      </c>
      <c r="M337" s="4">
        <f t="shared" ref="M337:M340" si="169">L337</f>
        <v>50</v>
      </c>
      <c r="N337" s="4">
        <f t="shared" si="163"/>
        <v>50</v>
      </c>
      <c r="O337" s="5">
        <v>4.4000000000000004</v>
      </c>
      <c r="P337">
        <v>0</v>
      </c>
      <c r="Q337" t="s">
        <v>54</v>
      </c>
      <c r="R337">
        <v>73</v>
      </c>
      <c r="S337" s="6">
        <f>R337/100</f>
        <v>0.73</v>
      </c>
    </row>
    <row r="338" spans="1:19" ht="13.5" x14ac:dyDescent="0.25">
      <c r="A338" t="s">
        <v>912</v>
      </c>
      <c r="B338" t="s">
        <v>913</v>
      </c>
      <c r="C338" t="str">
        <f t="shared" si="155"/>
        <v>Brittany Mcdowell</v>
      </c>
      <c r="D338" t="s">
        <v>22</v>
      </c>
      <c r="E338" s="3" t="str">
        <f t="shared" si="162"/>
        <v>Female</v>
      </c>
      <c r="F338" s="5">
        <v>33</v>
      </c>
      <c r="G338" t="s">
        <v>183</v>
      </c>
      <c r="H338" t="s">
        <v>39</v>
      </c>
      <c r="I338" t="s">
        <v>287</v>
      </c>
      <c r="J338" s="5">
        <v>11</v>
      </c>
      <c r="K338" s="3" t="str" cm="1">
        <f t="array" ref="K338">_xlfn.IFS(J338&lt;=5, "0-5", J338&lt;=10, "6-10", J338&lt;=15, "11-15", J338&lt;=20, "16-20", J338&gt;20, "21+")</f>
        <v>11-15</v>
      </c>
      <c r="L338">
        <v>75</v>
      </c>
      <c r="M338" s="4">
        <f t="shared" si="169"/>
        <v>75</v>
      </c>
      <c r="N338" s="4">
        <f t="shared" si="163"/>
        <v>75</v>
      </c>
      <c r="O338" s="5">
        <v>2.1</v>
      </c>
      <c r="P338">
        <v>0</v>
      </c>
      <c r="Q338" t="s">
        <v>54</v>
      </c>
      <c r="R338" s="1">
        <v>0.96</v>
      </c>
      <c r="S338" s="6">
        <f t="shared" ref="S338:S340" si="170">R338</f>
        <v>0.96</v>
      </c>
    </row>
    <row r="339" spans="1:19" ht="13.5" x14ac:dyDescent="0.25">
      <c r="A339" t="s">
        <v>914</v>
      </c>
      <c r="B339" t="s">
        <v>915</v>
      </c>
      <c r="C339" t="str">
        <f t="shared" si="155"/>
        <v>Lori Miller</v>
      </c>
      <c r="D339" t="s">
        <v>22</v>
      </c>
      <c r="E339" s="3" t="str">
        <f t="shared" si="162"/>
        <v>Female</v>
      </c>
      <c r="F339" s="5">
        <v>57</v>
      </c>
      <c r="G339" t="s">
        <v>67</v>
      </c>
      <c r="H339" t="s">
        <v>68</v>
      </c>
      <c r="I339" t="s">
        <v>291</v>
      </c>
      <c r="J339" s="5">
        <v>2</v>
      </c>
      <c r="K339" s="3" t="str" cm="1">
        <f t="array" ref="K339">_xlfn.IFS(J339&lt;=5, "0-5", J339&lt;=10, "6-10", J339&lt;=15, "11-15", J339&lt;=20, "16-20", J339&gt;20, "21+")</f>
        <v>0-5</v>
      </c>
      <c r="L339">
        <v>40</v>
      </c>
      <c r="M339" s="4">
        <f t="shared" si="169"/>
        <v>40</v>
      </c>
      <c r="N339" s="4">
        <f t="shared" si="163"/>
        <v>40</v>
      </c>
      <c r="O339" s="5">
        <v>0</v>
      </c>
      <c r="P339" t="b">
        <v>0</v>
      </c>
      <c r="Q339" t="s">
        <v>54</v>
      </c>
      <c r="R339" s="1">
        <v>0.6</v>
      </c>
      <c r="S339" s="6">
        <f t="shared" si="170"/>
        <v>0.6</v>
      </c>
    </row>
    <row r="340" spans="1:19" ht="13.5" x14ac:dyDescent="0.25">
      <c r="A340" t="s">
        <v>916</v>
      </c>
      <c r="B340" t="s">
        <v>917</v>
      </c>
      <c r="C340" t="str">
        <f t="shared" si="155"/>
        <v>Joseph Robinson</v>
      </c>
      <c r="D340" t="s">
        <v>328</v>
      </c>
      <c r="E340" s="3" t="str">
        <f t="shared" si="162"/>
        <v>Male</v>
      </c>
      <c r="F340" s="5">
        <v>36</v>
      </c>
      <c r="G340" t="s">
        <v>62</v>
      </c>
      <c r="H340" t="s">
        <v>63</v>
      </c>
      <c r="I340" t="s">
        <v>287</v>
      </c>
      <c r="J340" s="5">
        <v>6</v>
      </c>
      <c r="K340" s="3" t="str" cm="1">
        <f t="array" ref="K340">_xlfn.IFS(J340&lt;=5, "0-5", J340&lt;=10, "6-10", J340&lt;=15, "11-15", J340&lt;=20, "16-20", J340&gt;20, "21+")</f>
        <v>6-10</v>
      </c>
      <c r="L340">
        <v>20</v>
      </c>
      <c r="M340" s="4">
        <f t="shared" si="169"/>
        <v>20</v>
      </c>
      <c r="N340" s="4">
        <f t="shared" si="163"/>
        <v>20</v>
      </c>
      <c r="O340" s="5">
        <v>1</v>
      </c>
      <c r="P340" t="s">
        <v>57</v>
      </c>
      <c r="Q340" t="s">
        <v>28</v>
      </c>
      <c r="R340" s="1">
        <v>0.64</v>
      </c>
      <c r="S340" s="6">
        <f t="shared" si="170"/>
        <v>0.64</v>
      </c>
    </row>
    <row r="341" spans="1:19" ht="13.5" x14ac:dyDescent="0.25">
      <c r="A341" t="s">
        <v>918</v>
      </c>
      <c r="B341" t="s">
        <v>919</v>
      </c>
      <c r="C341" t="str">
        <f t="shared" si="155"/>
        <v>Aaron Pruitt</v>
      </c>
      <c r="D341" t="s">
        <v>32</v>
      </c>
      <c r="E341" s="3" t="str">
        <f t="shared" si="162"/>
        <v>Male</v>
      </c>
      <c r="F341" s="5">
        <v>50</v>
      </c>
      <c r="G341" t="s">
        <v>33</v>
      </c>
      <c r="H341" t="s">
        <v>34</v>
      </c>
      <c r="I341" t="s">
        <v>292</v>
      </c>
      <c r="J341" s="5">
        <v>20</v>
      </c>
      <c r="K341" s="3" t="str" cm="1">
        <f t="array" ref="K341">_xlfn.IFS(J341&lt;=5, "0-5", J341&lt;=10, "6-10", J341&lt;=15, "11-15", J341&lt;=20, "16-20", J341&gt;20, "21+")</f>
        <v>16-20</v>
      </c>
      <c r="L341" t="s">
        <v>72</v>
      </c>
      <c r="M341" s="4" t="str">
        <f t="shared" ref="M341:M342" si="171">_xlfn.TEXTAFTER(L341, " ")</f>
        <v>30</v>
      </c>
      <c r="N341" s="4">
        <f t="shared" si="163"/>
        <v>30</v>
      </c>
      <c r="O341" s="5">
        <v>0</v>
      </c>
      <c r="P341">
        <v>0</v>
      </c>
      <c r="Q341" t="s">
        <v>54</v>
      </c>
      <c r="S341" s="7"/>
    </row>
    <row r="342" spans="1:19" ht="13.5" x14ac:dyDescent="0.25">
      <c r="A342" t="s">
        <v>920</v>
      </c>
      <c r="B342" t="s">
        <v>921</v>
      </c>
      <c r="C342" t="str">
        <f t="shared" si="155"/>
        <v>Victoria Miller</v>
      </c>
      <c r="D342" t="s">
        <v>37</v>
      </c>
      <c r="E342" s="3" t="str">
        <f t="shared" si="162"/>
        <v>Female</v>
      </c>
      <c r="F342" s="5">
        <v>37</v>
      </c>
      <c r="G342" t="s">
        <v>125</v>
      </c>
      <c r="H342" t="s">
        <v>39</v>
      </c>
      <c r="I342" t="s">
        <v>283</v>
      </c>
      <c r="K342" s="3" t="str" cm="1">
        <f t="array" ref="K342">_xlfn.IFS(J342&lt;=5, "0-5", J342&lt;=10, "6-10", J342&lt;=15, "11-15", J342&lt;=20, "16-20", J342&gt;20, "21+")</f>
        <v>0-5</v>
      </c>
      <c r="L342" t="s">
        <v>78</v>
      </c>
      <c r="M342" s="4" t="str">
        <f t="shared" si="171"/>
        <v>20</v>
      </c>
      <c r="N342" s="4">
        <f t="shared" si="163"/>
        <v>20</v>
      </c>
      <c r="O342" s="5">
        <v>4.9000000000000004</v>
      </c>
      <c r="P342" t="s">
        <v>64</v>
      </c>
      <c r="Q342" t="s">
        <v>54</v>
      </c>
      <c r="S342" s="7"/>
    </row>
    <row r="343" spans="1:19" ht="13.5" x14ac:dyDescent="0.25">
      <c r="A343" t="s">
        <v>251</v>
      </c>
      <c r="B343" t="s">
        <v>252</v>
      </c>
      <c r="C343" t="str">
        <f t="shared" si="155"/>
        <v>Clarence Vega</v>
      </c>
      <c r="D343" t="s">
        <v>328</v>
      </c>
      <c r="E343" s="3" t="str">
        <f t="shared" si="162"/>
        <v>Male</v>
      </c>
      <c r="F343" s="5">
        <v>53</v>
      </c>
      <c r="G343" t="s">
        <v>253</v>
      </c>
      <c r="H343" t="s">
        <v>254</v>
      </c>
      <c r="I343" t="s">
        <v>25</v>
      </c>
      <c r="J343" s="5">
        <v>4</v>
      </c>
      <c r="K343" s="3" t="str" cm="1">
        <f t="array" ref="K343">_xlfn.IFS(J343&lt;=5, "0-5", J343&lt;=10, "6-10", J343&lt;=15, "11-15", J343&lt;=20, "16-20", J343&gt;20, "21+")</f>
        <v>0-5</v>
      </c>
      <c r="L343">
        <v>30</v>
      </c>
      <c r="M343" s="4">
        <f>L343</f>
        <v>30</v>
      </c>
      <c r="N343" s="4">
        <f t="shared" si="163"/>
        <v>30</v>
      </c>
      <c r="O343" s="5">
        <v>4.7</v>
      </c>
      <c r="P343" t="s">
        <v>81</v>
      </c>
      <c r="Q343" t="s">
        <v>54</v>
      </c>
      <c r="R343" s="1">
        <v>0.99</v>
      </c>
      <c r="S343" s="6">
        <f>R343</f>
        <v>0.99</v>
      </c>
    </row>
    <row r="344" spans="1:19" ht="13.5" x14ac:dyDescent="0.25">
      <c r="A344" t="s">
        <v>922</v>
      </c>
      <c r="B344" t="s">
        <v>923</v>
      </c>
      <c r="C344" t="str">
        <f t="shared" si="155"/>
        <v>Deborah Day</v>
      </c>
      <c r="D344" t="s">
        <v>22</v>
      </c>
      <c r="E344" s="3" t="str">
        <f t="shared" si="162"/>
        <v>Female</v>
      </c>
      <c r="F344" s="5">
        <v>22</v>
      </c>
      <c r="G344" t="s">
        <v>253</v>
      </c>
      <c r="H344" t="s">
        <v>254</v>
      </c>
      <c r="I344" t="s">
        <v>292</v>
      </c>
      <c r="J344" s="5">
        <v>3</v>
      </c>
      <c r="K344" s="3" t="str" cm="1">
        <f t="array" ref="K344">_xlfn.IFS(J344&lt;=5, "0-5", J344&lt;=10, "6-10", J344&lt;=15, "11-15", J344&lt;=20, "16-20", J344&gt;20, "21+")</f>
        <v>0-5</v>
      </c>
      <c r="L344" t="s">
        <v>99</v>
      </c>
      <c r="M344" s="4" t="str">
        <f t="shared" ref="M344" si="172">_xlfn.TEXTAFTER(L344, " ")</f>
        <v>40</v>
      </c>
      <c r="N344" s="4">
        <f t="shared" si="163"/>
        <v>40</v>
      </c>
      <c r="O344" s="5">
        <v>2.1</v>
      </c>
      <c r="P344">
        <v>0</v>
      </c>
      <c r="Q344" t="s">
        <v>54</v>
      </c>
      <c r="S344" s="7"/>
    </row>
    <row r="345" spans="1:19" ht="13.5" x14ac:dyDescent="0.25">
      <c r="A345" t="s">
        <v>924</v>
      </c>
      <c r="B345" t="s">
        <v>925</v>
      </c>
      <c r="C345" t="str">
        <f t="shared" si="155"/>
        <v>Nicole Rocha</v>
      </c>
      <c r="D345" t="s">
        <v>22</v>
      </c>
      <c r="E345" s="3" t="str">
        <f t="shared" si="162"/>
        <v>Female</v>
      </c>
      <c r="F345" s="5">
        <v>55</v>
      </c>
      <c r="G345" t="s">
        <v>52</v>
      </c>
      <c r="H345" t="s">
        <v>53</v>
      </c>
      <c r="I345" t="s">
        <v>285</v>
      </c>
      <c r="J345" s="5">
        <v>33</v>
      </c>
      <c r="K345" s="3" t="str" cm="1">
        <f t="array" ref="K345">_xlfn.IFS(J345&lt;=5, "0-5", J345&lt;=10, "6-10", J345&lt;=15, "11-15", J345&lt;=20, "16-20", J345&gt;20, "21+")</f>
        <v>21+</v>
      </c>
      <c r="L345">
        <v>40</v>
      </c>
      <c r="M345" s="4">
        <f>L345</f>
        <v>40</v>
      </c>
      <c r="N345" s="4">
        <f t="shared" si="163"/>
        <v>40</v>
      </c>
      <c r="O345" s="5">
        <v>1.5</v>
      </c>
      <c r="P345" t="s">
        <v>57</v>
      </c>
      <c r="Q345" t="s">
        <v>28</v>
      </c>
      <c r="R345" s="1">
        <v>0.71</v>
      </c>
      <c r="S345" s="6">
        <f t="shared" ref="S345:S348" si="173">R345</f>
        <v>0.71</v>
      </c>
    </row>
    <row r="346" spans="1:19" ht="13.5" x14ac:dyDescent="0.25">
      <c r="A346" t="s">
        <v>926</v>
      </c>
      <c r="B346" t="s">
        <v>927</v>
      </c>
      <c r="C346" t="str">
        <f t="shared" si="155"/>
        <v>Elijah Green</v>
      </c>
      <c r="D346" t="s">
        <v>311</v>
      </c>
      <c r="E346" s="3" t="str">
        <f t="shared" si="162"/>
        <v>Male</v>
      </c>
      <c r="F346" s="5">
        <v>22</v>
      </c>
      <c r="G346" t="s">
        <v>38</v>
      </c>
      <c r="H346" t="s">
        <v>39</v>
      </c>
      <c r="I346" t="s">
        <v>288</v>
      </c>
      <c r="J346" s="5">
        <v>1</v>
      </c>
      <c r="K346" s="3" t="str" cm="1">
        <f t="array" ref="K346">_xlfn.IFS(J346&lt;=5, "0-5", J346&lt;=10, "6-10", J346&lt;=15, "11-15", J346&lt;=20, "16-20", J346&gt;20, "21+")</f>
        <v>0-5</v>
      </c>
      <c r="N346" s="4" t="str">
        <f t="shared" si="163"/>
        <v>NA</v>
      </c>
      <c r="O346" s="5">
        <v>2.6</v>
      </c>
      <c r="P346">
        <v>0</v>
      </c>
      <c r="Q346" t="s">
        <v>54</v>
      </c>
      <c r="R346" s="1">
        <v>0.72</v>
      </c>
      <c r="S346" s="6">
        <f t="shared" si="173"/>
        <v>0.72</v>
      </c>
    </row>
    <row r="347" spans="1:19" ht="13.5" x14ac:dyDescent="0.25">
      <c r="A347" t="s">
        <v>928</v>
      </c>
      <c r="B347" t="s">
        <v>929</v>
      </c>
      <c r="C347" t="str">
        <f t="shared" si="155"/>
        <v>Emily Johnson</v>
      </c>
      <c r="D347" t="s">
        <v>37</v>
      </c>
      <c r="E347" s="3" t="str">
        <f t="shared" si="162"/>
        <v>Female</v>
      </c>
      <c r="F347" s="5">
        <v>45</v>
      </c>
      <c r="G347" t="s">
        <v>67</v>
      </c>
      <c r="H347" t="s">
        <v>68</v>
      </c>
      <c r="I347" t="s">
        <v>290</v>
      </c>
      <c r="J347" s="5">
        <v>23</v>
      </c>
      <c r="K347" s="3" t="str" cm="1">
        <f t="array" ref="K347">_xlfn.IFS(J347&lt;=5, "0-5", J347&lt;=10, "6-10", J347&lt;=15, "11-15", J347&lt;=20, "16-20", J347&gt;20, "21+")</f>
        <v>21+</v>
      </c>
      <c r="L347" t="s">
        <v>112</v>
      </c>
      <c r="M347" s="4" t="str">
        <f t="shared" ref="M347" si="174">_xlfn.TEXTAFTER(L347, " ")</f>
        <v>50</v>
      </c>
      <c r="N347" s="4">
        <f t="shared" si="163"/>
        <v>50</v>
      </c>
      <c r="O347" s="5">
        <v>0</v>
      </c>
      <c r="P347">
        <v>0</v>
      </c>
      <c r="Q347" t="s">
        <v>54</v>
      </c>
      <c r="R347" s="1">
        <v>0.66</v>
      </c>
      <c r="S347" s="6">
        <f t="shared" si="173"/>
        <v>0.66</v>
      </c>
    </row>
    <row r="348" spans="1:19" ht="13.5" x14ac:dyDescent="0.25">
      <c r="A348" t="s">
        <v>930</v>
      </c>
      <c r="B348" t="s">
        <v>931</v>
      </c>
      <c r="C348" t="str">
        <f t="shared" si="155"/>
        <v>Richard Velasquez Jr.</v>
      </c>
      <c r="D348" t="s">
        <v>328</v>
      </c>
      <c r="E348" s="3" t="str">
        <f t="shared" si="162"/>
        <v>Male</v>
      </c>
      <c r="F348" s="5">
        <v>36</v>
      </c>
      <c r="G348" t="s">
        <v>132</v>
      </c>
      <c r="H348" t="s">
        <v>133</v>
      </c>
      <c r="I348" t="s">
        <v>291</v>
      </c>
      <c r="J348" s="5">
        <v>13</v>
      </c>
      <c r="K348" s="3" t="str" cm="1">
        <f t="array" ref="K348">_xlfn.IFS(J348&lt;=5, "0-5", J348&lt;=10, "6-10", J348&lt;=15, "11-15", J348&lt;=20, "16-20", J348&gt;20, "21+")</f>
        <v>11-15</v>
      </c>
      <c r="L348">
        <v>40</v>
      </c>
      <c r="M348" s="4">
        <f>L348</f>
        <v>40</v>
      </c>
      <c r="N348" s="4">
        <f t="shared" si="163"/>
        <v>40</v>
      </c>
      <c r="P348" t="s">
        <v>64</v>
      </c>
      <c r="Q348" t="s">
        <v>54</v>
      </c>
      <c r="R348" s="1">
        <v>0.78</v>
      </c>
      <c r="S348" s="6">
        <f t="shared" si="173"/>
        <v>0.78</v>
      </c>
    </row>
    <row r="349" spans="1:19" ht="13.5" x14ac:dyDescent="0.25">
      <c r="A349" t="s">
        <v>932</v>
      </c>
      <c r="B349" t="s">
        <v>933</v>
      </c>
      <c r="C349" t="str">
        <f t="shared" si="155"/>
        <v>Kurt Wilson</v>
      </c>
      <c r="D349" t="s">
        <v>43</v>
      </c>
      <c r="E349" s="3" t="str">
        <f t="shared" si="162"/>
        <v>Male</v>
      </c>
      <c r="F349" s="5">
        <v>23</v>
      </c>
      <c r="G349" t="s">
        <v>38</v>
      </c>
      <c r="H349" t="s">
        <v>39</v>
      </c>
      <c r="I349" t="s">
        <v>283</v>
      </c>
      <c r="J349" s="5">
        <v>1</v>
      </c>
      <c r="K349" s="3" t="str" cm="1">
        <f t="array" ref="K349">_xlfn.IFS(J349&lt;=5, "0-5", J349&lt;=10, "6-10", J349&lt;=15, "11-15", J349&lt;=20, "16-20", J349&gt;20, "21+")</f>
        <v>0-5</v>
      </c>
      <c r="L349" t="s">
        <v>78</v>
      </c>
      <c r="M349" s="4" t="str">
        <f t="shared" ref="M349" si="175">_xlfn.TEXTAFTER(L349, " ")</f>
        <v>20</v>
      </c>
      <c r="N349" s="4">
        <f t="shared" si="163"/>
        <v>20</v>
      </c>
      <c r="O349" s="5">
        <v>4</v>
      </c>
      <c r="P349" t="s">
        <v>57</v>
      </c>
      <c r="Q349" t="s">
        <v>28</v>
      </c>
      <c r="R349">
        <v>100</v>
      </c>
      <c r="S349" s="6">
        <f>R349/100</f>
        <v>1</v>
      </c>
    </row>
    <row r="350" spans="1:19" ht="13.5" x14ac:dyDescent="0.25">
      <c r="A350" t="s">
        <v>934</v>
      </c>
      <c r="B350" t="s">
        <v>935</v>
      </c>
      <c r="C350" t="str">
        <f t="shared" si="155"/>
        <v>Jeremiah Rodriguez</v>
      </c>
      <c r="D350" t="s">
        <v>328</v>
      </c>
      <c r="E350" s="3" t="str">
        <f t="shared" si="162"/>
        <v>Male</v>
      </c>
      <c r="F350" s="5">
        <v>55</v>
      </c>
      <c r="G350" t="s">
        <v>253</v>
      </c>
      <c r="H350" t="s">
        <v>254</v>
      </c>
      <c r="I350" t="s">
        <v>283</v>
      </c>
      <c r="J350" s="5">
        <v>15</v>
      </c>
      <c r="K350" s="3" t="str" cm="1">
        <f t="array" ref="K350">_xlfn.IFS(J350&lt;=5, "0-5", J350&lt;=10, "6-10", J350&lt;=15, "11-15", J350&lt;=20, "16-20", J350&gt;20, "21+")</f>
        <v>11-15</v>
      </c>
      <c r="L350">
        <v>40</v>
      </c>
      <c r="M350" s="4">
        <f t="shared" ref="M350:M352" si="176">L350</f>
        <v>40</v>
      </c>
      <c r="N350" s="4">
        <f t="shared" si="163"/>
        <v>40</v>
      </c>
      <c r="O350" s="5">
        <v>4.5</v>
      </c>
      <c r="S350" s="7"/>
    </row>
    <row r="351" spans="1:19" ht="13.5" x14ac:dyDescent="0.25">
      <c r="A351" t="s">
        <v>936</v>
      </c>
      <c r="B351" t="s">
        <v>937</v>
      </c>
      <c r="C351" t="str">
        <f t="shared" si="155"/>
        <v>Lauren Lang</v>
      </c>
      <c r="D351" t="s">
        <v>301</v>
      </c>
      <c r="E351" s="3" t="str">
        <f t="shared" si="162"/>
        <v>Female</v>
      </c>
      <c r="F351" s="5">
        <v>50</v>
      </c>
      <c r="G351" t="s">
        <v>47</v>
      </c>
      <c r="H351" t="s">
        <v>48</v>
      </c>
      <c r="I351" t="s">
        <v>285</v>
      </c>
      <c r="J351" s="5">
        <v>18</v>
      </c>
      <c r="K351" s="3" t="str" cm="1">
        <f t="array" ref="K351">_xlfn.IFS(J351&lt;=5, "0-5", J351&lt;=10, "6-10", J351&lt;=15, "11-15", J351&lt;=20, "16-20", J351&gt;20, "21+")</f>
        <v>16-20</v>
      </c>
      <c r="L351">
        <v>75</v>
      </c>
      <c r="M351" s="4">
        <f t="shared" si="176"/>
        <v>75</v>
      </c>
      <c r="N351" s="4">
        <f t="shared" si="163"/>
        <v>75</v>
      </c>
      <c r="O351" s="5">
        <v>3.8</v>
      </c>
      <c r="P351">
        <v>0</v>
      </c>
      <c r="Q351" t="s">
        <v>54</v>
      </c>
      <c r="R351">
        <v>67</v>
      </c>
      <c r="S351" s="6">
        <f>R351/100</f>
        <v>0.67</v>
      </c>
    </row>
    <row r="352" spans="1:19" ht="13.5" x14ac:dyDescent="0.25">
      <c r="A352" t="s">
        <v>938</v>
      </c>
      <c r="B352" t="s">
        <v>939</v>
      </c>
      <c r="C352" t="str">
        <f t="shared" si="155"/>
        <v>Matthew Phillips</v>
      </c>
      <c r="D352" t="s">
        <v>31</v>
      </c>
      <c r="E352" s="3" t="str">
        <f t="shared" si="162"/>
        <v>Male</v>
      </c>
      <c r="F352" s="5">
        <v>48</v>
      </c>
      <c r="G352" t="s">
        <v>183</v>
      </c>
      <c r="H352" t="s">
        <v>39</v>
      </c>
      <c r="I352" t="s">
        <v>284</v>
      </c>
      <c r="J352" s="5">
        <v>21</v>
      </c>
      <c r="K352" s="3" t="str" cm="1">
        <f t="array" ref="K352">_xlfn.IFS(J352&lt;=5, "0-5", J352&lt;=10, "6-10", J352&lt;=15, "11-15", J352&lt;=20, "16-20", J352&gt;20, "21+")</f>
        <v>21+</v>
      </c>
      <c r="L352">
        <v>50</v>
      </c>
      <c r="M352" s="4">
        <f t="shared" si="176"/>
        <v>50</v>
      </c>
      <c r="N352" s="4">
        <f t="shared" si="163"/>
        <v>50</v>
      </c>
      <c r="O352" s="5">
        <v>4</v>
      </c>
      <c r="P352">
        <v>0</v>
      </c>
      <c r="Q352" t="s">
        <v>54</v>
      </c>
      <c r="R352" s="1">
        <v>0.78</v>
      </c>
      <c r="S352" s="6">
        <f t="shared" ref="S352:S356" si="177">R352</f>
        <v>0.78</v>
      </c>
    </row>
    <row r="353" spans="1:19" ht="13.5" x14ac:dyDescent="0.25">
      <c r="A353" t="s">
        <v>940</v>
      </c>
      <c r="B353" t="s">
        <v>941</v>
      </c>
      <c r="C353" t="str">
        <f t="shared" si="155"/>
        <v>Michael Andersen</v>
      </c>
      <c r="D353" t="s">
        <v>311</v>
      </c>
      <c r="E353" s="3" t="str">
        <f t="shared" si="162"/>
        <v>Male</v>
      </c>
      <c r="F353" s="5">
        <v>23</v>
      </c>
      <c r="G353" t="s">
        <v>52</v>
      </c>
      <c r="H353" t="s">
        <v>53</v>
      </c>
      <c r="I353" t="s">
        <v>283</v>
      </c>
      <c r="J353" s="5">
        <v>1</v>
      </c>
      <c r="K353" s="3" t="str" cm="1">
        <f t="array" ref="K353">_xlfn.IFS(J353&lt;=5, "0-5", J353&lt;=10, "6-10", J353&lt;=15, "11-15", J353&lt;=20, "16-20", J353&gt;20, "21+")</f>
        <v>0-5</v>
      </c>
      <c r="L353" s="2">
        <v>40</v>
      </c>
      <c r="M353" s="4" t="str">
        <f t="shared" ref="M353:M354" si="178">SUBSTITUTE(L353, "$","")</f>
        <v>40</v>
      </c>
      <c r="N353" s="4">
        <f t="shared" si="163"/>
        <v>40</v>
      </c>
      <c r="O353" s="5">
        <v>4.9000000000000004</v>
      </c>
      <c r="P353" t="s">
        <v>27</v>
      </c>
      <c r="Q353" t="s">
        <v>28</v>
      </c>
      <c r="R353" s="1">
        <v>0.78</v>
      </c>
      <c r="S353" s="6">
        <f t="shared" si="177"/>
        <v>0.78</v>
      </c>
    </row>
    <row r="354" spans="1:19" ht="13.5" x14ac:dyDescent="0.25">
      <c r="A354" t="s">
        <v>942</v>
      </c>
      <c r="B354" t="s">
        <v>943</v>
      </c>
      <c r="C354" t="str">
        <f t="shared" si="155"/>
        <v>Amanda Mayo</v>
      </c>
      <c r="D354" t="s">
        <v>37</v>
      </c>
      <c r="E354" s="3" t="str">
        <f t="shared" si="162"/>
        <v>Female</v>
      </c>
      <c r="F354" s="5">
        <v>49</v>
      </c>
      <c r="G354" t="s">
        <v>125</v>
      </c>
      <c r="H354" t="s">
        <v>39</v>
      </c>
      <c r="I354" t="s">
        <v>290</v>
      </c>
      <c r="J354" s="5">
        <v>25</v>
      </c>
      <c r="K354" s="3" t="str" cm="1">
        <f t="array" ref="K354">_xlfn.IFS(J354&lt;=5, "0-5", J354&lt;=10, "6-10", J354&lt;=15, "11-15", J354&lt;=20, "16-20", J354&gt;20, "21+")</f>
        <v>21+</v>
      </c>
      <c r="L354" s="2">
        <v>30</v>
      </c>
      <c r="M354" s="4" t="str">
        <f t="shared" si="178"/>
        <v>30</v>
      </c>
      <c r="N354" s="4">
        <f t="shared" si="163"/>
        <v>30</v>
      </c>
      <c r="O354" s="5">
        <v>3.4</v>
      </c>
      <c r="P354">
        <v>0</v>
      </c>
      <c r="Q354" t="s">
        <v>54</v>
      </c>
      <c r="R354" s="1">
        <v>0.75</v>
      </c>
      <c r="S354" s="6">
        <f t="shared" si="177"/>
        <v>0.75</v>
      </c>
    </row>
    <row r="355" spans="1:19" ht="13.5" x14ac:dyDescent="0.25">
      <c r="A355" t="s">
        <v>944</v>
      </c>
      <c r="B355" t="s">
        <v>945</v>
      </c>
      <c r="C355" t="str">
        <f t="shared" si="155"/>
        <v>Jessica Vance</v>
      </c>
      <c r="D355" t="s">
        <v>301</v>
      </c>
      <c r="E355" s="3" t="str">
        <f t="shared" si="162"/>
        <v>Female</v>
      </c>
      <c r="F355" s="5">
        <v>47</v>
      </c>
      <c r="G355" t="s">
        <v>253</v>
      </c>
      <c r="H355" t="s">
        <v>254</v>
      </c>
      <c r="I355" t="s">
        <v>288</v>
      </c>
      <c r="J355" s="5">
        <v>12</v>
      </c>
      <c r="K355" s="3" t="str" cm="1">
        <f t="array" ref="K355">_xlfn.IFS(J355&lt;=5, "0-5", J355&lt;=10, "6-10", J355&lt;=15, "11-15", J355&lt;=20, "16-20", J355&gt;20, "21+")</f>
        <v>11-15</v>
      </c>
      <c r="L355">
        <v>50</v>
      </c>
      <c r="M355" s="4">
        <f>L355</f>
        <v>50</v>
      </c>
      <c r="N355" s="4">
        <f t="shared" si="163"/>
        <v>50</v>
      </c>
      <c r="O355" s="5">
        <v>2.1</v>
      </c>
      <c r="P355" t="b">
        <v>1</v>
      </c>
      <c r="Q355" t="s">
        <v>28</v>
      </c>
      <c r="R355" s="1">
        <v>0.67</v>
      </c>
      <c r="S355" s="6">
        <f t="shared" si="177"/>
        <v>0.67</v>
      </c>
    </row>
    <row r="356" spans="1:19" ht="13.5" x14ac:dyDescent="0.25">
      <c r="A356" t="s">
        <v>946</v>
      </c>
      <c r="B356" t="s">
        <v>947</v>
      </c>
      <c r="C356" t="str">
        <f t="shared" si="155"/>
        <v>Alexa Gallegos</v>
      </c>
      <c r="D356" t="s">
        <v>22</v>
      </c>
      <c r="E356" s="3" t="str">
        <f t="shared" si="162"/>
        <v>Female</v>
      </c>
      <c r="F356" s="5">
        <v>56</v>
      </c>
      <c r="G356" t="s">
        <v>88</v>
      </c>
      <c r="H356" t="s">
        <v>89</v>
      </c>
      <c r="I356" t="s">
        <v>287</v>
      </c>
      <c r="J356" s="5">
        <v>32</v>
      </c>
      <c r="K356" s="3" t="str" cm="1">
        <f t="array" ref="K356">_xlfn.IFS(J356&lt;=5, "0-5", J356&lt;=10, "6-10", J356&lt;=15, "11-15", J356&lt;=20, "16-20", J356&gt;20, "21+")</f>
        <v>21+</v>
      </c>
      <c r="L356" t="s">
        <v>99</v>
      </c>
      <c r="M356" s="4" t="str">
        <f t="shared" ref="M356" si="179">_xlfn.TEXTAFTER(L356, " ")</f>
        <v>40</v>
      </c>
      <c r="N356" s="4">
        <f t="shared" si="163"/>
        <v>40</v>
      </c>
      <c r="O356" s="5">
        <v>0</v>
      </c>
      <c r="P356">
        <v>1</v>
      </c>
      <c r="Q356" t="s">
        <v>28</v>
      </c>
      <c r="R356" s="1">
        <v>0.86</v>
      </c>
      <c r="S356" s="6">
        <f t="shared" si="177"/>
        <v>0.86</v>
      </c>
    </row>
    <row r="357" spans="1:19" ht="13.5" x14ac:dyDescent="0.25">
      <c r="A357" t="s">
        <v>948</v>
      </c>
      <c r="B357" t="s">
        <v>949</v>
      </c>
      <c r="C357" t="str">
        <f t="shared" si="155"/>
        <v>Charles Pratt</v>
      </c>
      <c r="D357" t="s">
        <v>311</v>
      </c>
      <c r="E357" s="3" t="str">
        <f t="shared" si="162"/>
        <v>Male</v>
      </c>
      <c r="F357" s="5">
        <v>58</v>
      </c>
      <c r="G357" t="s">
        <v>23</v>
      </c>
      <c r="H357" t="s">
        <v>24</v>
      </c>
      <c r="I357" t="s">
        <v>286</v>
      </c>
      <c r="K357" s="3" t="str" cm="1">
        <f t="array" ref="K357">_xlfn.IFS(J357&lt;=5, "0-5", J357&lt;=10, "6-10", J357&lt;=15, "11-15", J357&lt;=20, "16-20", J357&gt;20, "21+")</f>
        <v>0-5</v>
      </c>
      <c r="L357">
        <v>100</v>
      </c>
      <c r="M357" s="4">
        <f>L357</f>
        <v>100</v>
      </c>
      <c r="N357" s="4">
        <f t="shared" si="163"/>
        <v>100</v>
      </c>
      <c r="O357" s="5">
        <v>4.5</v>
      </c>
      <c r="P357" t="s">
        <v>81</v>
      </c>
      <c r="Q357" t="s">
        <v>54</v>
      </c>
      <c r="R357">
        <v>77</v>
      </c>
      <c r="S357" s="6">
        <f>R357/100</f>
        <v>0.77</v>
      </c>
    </row>
    <row r="358" spans="1:19" ht="13.5" x14ac:dyDescent="0.25">
      <c r="A358" t="s">
        <v>950</v>
      </c>
      <c r="B358" t="s">
        <v>951</v>
      </c>
      <c r="C358" t="str">
        <f t="shared" si="155"/>
        <v>Brian Baker</v>
      </c>
      <c r="D358" t="s">
        <v>43</v>
      </c>
      <c r="E358" s="3" t="str">
        <f t="shared" si="162"/>
        <v>Male</v>
      </c>
      <c r="F358" s="5">
        <v>32</v>
      </c>
      <c r="G358" t="s">
        <v>62</v>
      </c>
      <c r="H358" t="s">
        <v>63</v>
      </c>
      <c r="I358" t="s">
        <v>286</v>
      </c>
      <c r="J358" s="5">
        <v>10</v>
      </c>
      <c r="K358" s="3" t="str" cm="1">
        <f t="array" ref="K358">_xlfn.IFS(J358&lt;=5, "0-5", J358&lt;=10, "6-10", J358&lt;=15, "11-15", J358&lt;=20, "16-20", J358&gt;20, "21+")</f>
        <v>6-10</v>
      </c>
      <c r="L358" s="2">
        <v>30</v>
      </c>
      <c r="M358" s="4" t="str">
        <f>SUBSTITUTE(L358, "$","")</f>
        <v>30</v>
      </c>
      <c r="N358" s="4">
        <f t="shared" si="163"/>
        <v>30</v>
      </c>
      <c r="O358" s="5">
        <v>3.8</v>
      </c>
      <c r="P358">
        <v>0</v>
      </c>
      <c r="Q358" t="s">
        <v>54</v>
      </c>
      <c r="R358" s="1">
        <v>0.61</v>
      </c>
      <c r="S358" s="6">
        <f t="shared" ref="S358:S364" si="180">R358</f>
        <v>0.61</v>
      </c>
    </row>
    <row r="359" spans="1:19" ht="13.5" x14ac:dyDescent="0.25">
      <c r="A359" t="s">
        <v>952</v>
      </c>
      <c r="B359" t="s">
        <v>953</v>
      </c>
      <c r="C359" t="str">
        <f t="shared" si="155"/>
        <v>Christina Norman</v>
      </c>
      <c r="D359" t="s">
        <v>22</v>
      </c>
      <c r="E359" s="3" t="str">
        <f t="shared" si="162"/>
        <v>Female</v>
      </c>
      <c r="F359" s="5">
        <v>52</v>
      </c>
      <c r="G359" t="s">
        <v>146</v>
      </c>
      <c r="H359" t="s">
        <v>147</v>
      </c>
      <c r="I359" t="s">
        <v>286</v>
      </c>
      <c r="J359" s="5">
        <v>0</v>
      </c>
      <c r="K359" s="3" t="str" cm="1">
        <f t="array" ref="K359">_xlfn.IFS(J359&lt;=5, "0-5", J359&lt;=10, "6-10", J359&lt;=15, "11-15", J359&lt;=20, "16-20", J359&gt;20, "21+")</f>
        <v>0-5</v>
      </c>
      <c r="N359" s="4" t="str">
        <f t="shared" si="163"/>
        <v>NA</v>
      </c>
      <c r="O359" s="5">
        <v>4.3</v>
      </c>
      <c r="P359">
        <v>0</v>
      </c>
      <c r="Q359" t="s">
        <v>54</v>
      </c>
      <c r="R359" s="1">
        <v>0.9</v>
      </c>
      <c r="S359" s="6">
        <f t="shared" si="180"/>
        <v>0.9</v>
      </c>
    </row>
    <row r="360" spans="1:19" ht="13.5" x14ac:dyDescent="0.25">
      <c r="A360" t="s">
        <v>954</v>
      </c>
      <c r="B360" t="s">
        <v>955</v>
      </c>
      <c r="C360" t="str">
        <f t="shared" si="155"/>
        <v>Laura Kelly</v>
      </c>
      <c r="D360" t="s">
        <v>21</v>
      </c>
      <c r="E360" s="3" t="str">
        <f t="shared" si="162"/>
        <v>Female</v>
      </c>
      <c r="F360" s="5">
        <v>22</v>
      </c>
      <c r="G360" t="s">
        <v>165</v>
      </c>
      <c r="H360" t="s">
        <v>166</v>
      </c>
      <c r="I360" t="s">
        <v>291</v>
      </c>
      <c r="J360" s="5">
        <v>1</v>
      </c>
      <c r="K360" s="3" t="str" cm="1">
        <f t="array" ref="K360">_xlfn.IFS(J360&lt;=5, "0-5", J360&lt;=10, "6-10", J360&lt;=15, "11-15", J360&lt;=20, "16-20", J360&gt;20, "21+")</f>
        <v>0-5</v>
      </c>
      <c r="L360">
        <v>50</v>
      </c>
      <c r="M360" s="4">
        <f t="shared" ref="M360:M361" si="181">L360</f>
        <v>50</v>
      </c>
      <c r="N360" s="4">
        <f t="shared" si="163"/>
        <v>50</v>
      </c>
      <c r="O360" s="5">
        <v>0</v>
      </c>
      <c r="R360" s="1">
        <v>0.98</v>
      </c>
      <c r="S360" s="6">
        <f t="shared" si="180"/>
        <v>0.98</v>
      </c>
    </row>
    <row r="361" spans="1:19" ht="13.5" x14ac:dyDescent="0.25">
      <c r="A361" t="s">
        <v>956</v>
      </c>
      <c r="B361" t="s">
        <v>957</v>
      </c>
      <c r="C361" t="str">
        <f t="shared" si="155"/>
        <v>John Webb</v>
      </c>
      <c r="D361" t="s">
        <v>32</v>
      </c>
      <c r="E361" s="3" t="str">
        <f t="shared" si="162"/>
        <v>Male</v>
      </c>
      <c r="F361" s="5">
        <v>20</v>
      </c>
      <c r="G361" t="s">
        <v>146</v>
      </c>
      <c r="H361" t="s">
        <v>147</v>
      </c>
      <c r="I361" t="s">
        <v>288</v>
      </c>
      <c r="J361" s="5">
        <v>2</v>
      </c>
      <c r="K361" s="3" t="str" cm="1">
        <f t="array" ref="K361">_xlfn.IFS(J361&lt;=5, "0-5", J361&lt;=10, "6-10", J361&lt;=15, "11-15", J361&lt;=20, "16-20", J361&gt;20, "21+")</f>
        <v>0-5</v>
      </c>
      <c r="L361">
        <v>30</v>
      </c>
      <c r="M361" s="4">
        <f t="shared" si="181"/>
        <v>30</v>
      </c>
      <c r="N361" s="4">
        <f t="shared" si="163"/>
        <v>30</v>
      </c>
      <c r="P361">
        <v>1</v>
      </c>
      <c r="Q361" t="s">
        <v>28</v>
      </c>
      <c r="R361" s="1">
        <v>0.99</v>
      </c>
      <c r="S361" s="6">
        <f t="shared" si="180"/>
        <v>0.99</v>
      </c>
    </row>
    <row r="362" spans="1:19" ht="13.5" x14ac:dyDescent="0.25">
      <c r="A362" t="s">
        <v>958</v>
      </c>
      <c r="B362" t="s">
        <v>959</v>
      </c>
      <c r="C362" t="str">
        <f t="shared" si="155"/>
        <v>Christopher Burton</v>
      </c>
      <c r="D362" t="s">
        <v>328</v>
      </c>
      <c r="E362" s="3" t="str">
        <f t="shared" si="162"/>
        <v>Male</v>
      </c>
      <c r="F362" s="5">
        <v>56</v>
      </c>
      <c r="G362" t="s">
        <v>52</v>
      </c>
      <c r="H362" t="s">
        <v>53</v>
      </c>
      <c r="I362" t="s">
        <v>291</v>
      </c>
      <c r="J362" s="5">
        <v>9</v>
      </c>
      <c r="K362" s="3" t="str" cm="1">
        <f t="array" ref="K362">_xlfn.IFS(J362&lt;=5, "0-5", J362&lt;=10, "6-10", J362&lt;=15, "11-15", J362&lt;=20, "16-20", J362&gt;20, "21+")</f>
        <v>6-10</v>
      </c>
      <c r="L362" t="s">
        <v>99</v>
      </c>
      <c r="M362" s="4" t="str">
        <f t="shared" ref="M362:M363" si="182">_xlfn.TEXTAFTER(L362, " ")</f>
        <v>40</v>
      </c>
      <c r="N362" s="4">
        <f t="shared" si="163"/>
        <v>40</v>
      </c>
      <c r="O362" s="5">
        <v>2.6</v>
      </c>
      <c r="P362">
        <v>0</v>
      </c>
      <c r="Q362" t="s">
        <v>54</v>
      </c>
      <c r="R362" s="1">
        <v>0.61</v>
      </c>
      <c r="S362" s="6">
        <f t="shared" si="180"/>
        <v>0.61</v>
      </c>
    </row>
    <row r="363" spans="1:19" ht="13.5" x14ac:dyDescent="0.25">
      <c r="A363" t="s">
        <v>960</v>
      </c>
      <c r="B363" t="s">
        <v>961</v>
      </c>
      <c r="C363" t="str">
        <f t="shared" si="155"/>
        <v>Bradley Aguilar</v>
      </c>
      <c r="D363" t="s">
        <v>32</v>
      </c>
      <c r="E363" s="3" t="str">
        <f t="shared" si="162"/>
        <v>Male</v>
      </c>
      <c r="F363" s="5">
        <v>41</v>
      </c>
      <c r="G363" t="s">
        <v>88</v>
      </c>
      <c r="H363" t="s">
        <v>89</v>
      </c>
      <c r="I363" t="s">
        <v>291</v>
      </c>
      <c r="J363" s="5">
        <v>22</v>
      </c>
      <c r="K363" s="3" t="str" cm="1">
        <f t="array" ref="K363">_xlfn.IFS(J363&lt;=5, "0-5", J363&lt;=10, "6-10", J363&lt;=15, "11-15", J363&lt;=20, "16-20", J363&gt;20, "21+")</f>
        <v>21+</v>
      </c>
      <c r="L363" t="s">
        <v>112</v>
      </c>
      <c r="M363" s="4" t="str">
        <f t="shared" si="182"/>
        <v>50</v>
      </c>
      <c r="N363" s="4">
        <f t="shared" si="163"/>
        <v>50</v>
      </c>
      <c r="O363" s="5">
        <v>1.6</v>
      </c>
      <c r="P363">
        <v>1</v>
      </c>
      <c r="Q363" t="s">
        <v>28</v>
      </c>
      <c r="R363" s="1">
        <v>0.61</v>
      </c>
      <c r="S363" s="6">
        <f t="shared" si="180"/>
        <v>0.61</v>
      </c>
    </row>
    <row r="364" spans="1:19" ht="13.5" x14ac:dyDescent="0.25">
      <c r="A364" t="s">
        <v>962</v>
      </c>
      <c r="B364" t="s">
        <v>963</v>
      </c>
      <c r="C364" t="str">
        <f t="shared" si="155"/>
        <v>Arthur Vasquez</v>
      </c>
      <c r="D364" t="s">
        <v>32</v>
      </c>
      <c r="E364" s="3" t="str">
        <f t="shared" si="162"/>
        <v>Male</v>
      </c>
      <c r="F364" s="5">
        <v>25</v>
      </c>
      <c r="G364" t="s">
        <v>23</v>
      </c>
      <c r="H364" t="s">
        <v>24</v>
      </c>
      <c r="I364" t="s">
        <v>292</v>
      </c>
      <c r="J364" s="5">
        <v>5</v>
      </c>
      <c r="K364" s="3" t="str" cm="1">
        <f t="array" ref="K364">_xlfn.IFS(J364&lt;=5, "0-5", J364&lt;=10, "6-10", J364&lt;=15, "11-15", J364&lt;=20, "16-20", J364&gt;20, "21+")</f>
        <v>0-5</v>
      </c>
      <c r="L364" s="2">
        <v>30</v>
      </c>
      <c r="M364" s="4" t="str">
        <f>SUBSTITUTE(L364, "$","")</f>
        <v>30</v>
      </c>
      <c r="N364" s="4">
        <f t="shared" si="163"/>
        <v>30</v>
      </c>
      <c r="O364" s="5">
        <v>2.2999999999999998</v>
      </c>
      <c r="P364">
        <v>0</v>
      </c>
      <c r="Q364" t="s">
        <v>54</v>
      </c>
      <c r="R364" s="1">
        <v>0.91</v>
      </c>
      <c r="S364" s="6">
        <f t="shared" si="180"/>
        <v>0.91</v>
      </c>
    </row>
    <row r="365" spans="1:19" ht="13.5" x14ac:dyDescent="0.25">
      <c r="A365" t="s">
        <v>964</v>
      </c>
      <c r="B365" t="s">
        <v>965</v>
      </c>
      <c r="C365" t="str">
        <f t="shared" si="155"/>
        <v>Angela Castro</v>
      </c>
      <c r="D365" t="s">
        <v>21</v>
      </c>
      <c r="E365" s="3" t="str">
        <f t="shared" si="162"/>
        <v>Female</v>
      </c>
      <c r="F365" s="5">
        <v>44</v>
      </c>
      <c r="G365" t="s">
        <v>125</v>
      </c>
      <c r="H365" t="s">
        <v>39</v>
      </c>
      <c r="I365" t="s">
        <v>288</v>
      </c>
      <c r="J365" s="5">
        <v>6</v>
      </c>
      <c r="K365" s="3" t="str" cm="1">
        <f t="array" ref="K365">_xlfn.IFS(J365&lt;=5, "0-5", J365&lt;=10, "6-10", J365&lt;=15, "11-15", J365&lt;=20, "16-20", J365&gt;20, "21+")</f>
        <v>6-10</v>
      </c>
      <c r="L365">
        <v>75</v>
      </c>
      <c r="M365" s="4">
        <f>L365</f>
        <v>75</v>
      </c>
      <c r="N365" s="4">
        <f t="shared" si="163"/>
        <v>75</v>
      </c>
      <c r="O365" s="5">
        <v>4.5999999999999996</v>
      </c>
      <c r="P365" t="s">
        <v>57</v>
      </c>
      <c r="Q365" t="s">
        <v>28</v>
      </c>
      <c r="R365">
        <v>72</v>
      </c>
      <c r="S365" s="6">
        <f>R365/100</f>
        <v>0.72</v>
      </c>
    </row>
    <row r="366" spans="1:19" ht="13.5" x14ac:dyDescent="0.25">
      <c r="A366" t="s">
        <v>966</v>
      </c>
      <c r="B366" t="s">
        <v>967</v>
      </c>
      <c r="C366" t="str">
        <f t="shared" si="155"/>
        <v>Summer Yoder</v>
      </c>
      <c r="D366" t="s">
        <v>304</v>
      </c>
      <c r="E366" s="3" t="str">
        <f t="shared" si="162"/>
        <v>Female</v>
      </c>
      <c r="F366" s="5">
        <v>46</v>
      </c>
      <c r="G366" t="s">
        <v>38</v>
      </c>
      <c r="H366" t="s">
        <v>39</v>
      </c>
      <c r="I366" t="s">
        <v>290</v>
      </c>
      <c r="J366" s="5">
        <v>26</v>
      </c>
      <c r="K366" s="3" t="str" cm="1">
        <f t="array" ref="K366">_xlfn.IFS(J366&lt;=5, "0-5", J366&lt;=10, "6-10", J366&lt;=15, "11-15", J366&lt;=20, "16-20", J366&gt;20, "21+")</f>
        <v>21+</v>
      </c>
      <c r="L366" s="2">
        <v>100</v>
      </c>
      <c r="M366" s="4" t="str">
        <f>SUBSTITUTE(L366, "$","")</f>
        <v>100</v>
      </c>
      <c r="N366" s="4">
        <f t="shared" si="163"/>
        <v>100</v>
      </c>
      <c r="O366" s="5">
        <v>2.1</v>
      </c>
      <c r="S366" s="7"/>
    </row>
    <row r="367" spans="1:19" ht="13.5" x14ac:dyDescent="0.25">
      <c r="A367" t="s">
        <v>968</v>
      </c>
      <c r="B367" t="s">
        <v>969</v>
      </c>
      <c r="C367" t="str">
        <f t="shared" si="155"/>
        <v>Jackie Allen</v>
      </c>
      <c r="D367" t="s">
        <v>304</v>
      </c>
      <c r="E367" s="3" t="str">
        <f t="shared" si="162"/>
        <v>Female</v>
      </c>
      <c r="F367" s="5">
        <v>40</v>
      </c>
      <c r="G367" t="s">
        <v>62</v>
      </c>
      <c r="H367" t="s">
        <v>63</v>
      </c>
      <c r="I367" t="s">
        <v>292</v>
      </c>
      <c r="K367" s="3" t="str" cm="1">
        <f t="array" ref="K367">_xlfn.IFS(J367&lt;=5, "0-5", J367&lt;=10, "6-10", J367&lt;=15, "11-15", J367&lt;=20, "16-20", J367&gt;20, "21+")</f>
        <v>0-5</v>
      </c>
      <c r="L367">
        <v>40</v>
      </c>
      <c r="M367" s="4">
        <f>L367</f>
        <v>40</v>
      </c>
      <c r="N367" s="4">
        <f t="shared" si="163"/>
        <v>40</v>
      </c>
      <c r="O367" s="5">
        <v>1.5</v>
      </c>
      <c r="P367" t="b">
        <v>0</v>
      </c>
      <c r="Q367" t="s">
        <v>54</v>
      </c>
      <c r="R367" s="1">
        <v>0.96</v>
      </c>
      <c r="S367" s="6">
        <f>R367</f>
        <v>0.96</v>
      </c>
    </row>
    <row r="368" spans="1:19" ht="13.5" x14ac:dyDescent="0.25">
      <c r="A368" t="s">
        <v>249</v>
      </c>
      <c r="B368" t="s">
        <v>250</v>
      </c>
      <c r="C368" t="str">
        <f t="shared" si="155"/>
        <v>Brandon Williams</v>
      </c>
      <c r="D368" t="s">
        <v>31</v>
      </c>
      <c r="E368" s="3" t="str">
        <f t="shared" si="162"/>
        <v>Male</v>
      </c>
      <c r="G368" t="s">
        <v>165</v>
      </c>
      <c r="H368" t="s">
        <v>166</v>
      </c>
      <c r="I368" t="s">
        <v>25</v>
      </c>
      <c r="J368" s="5">
        <v>9</v>
      </c>
      <c r="K368" s="3" t="str" cm="1">
        <f t="array" ref="K368">_xlfn.IFS(J368&lt;=5, "0-5", J368&lt;=10, "6-10", J368&lt;=15, "11-15", J368&lt;=20, "16-20", J368&gt;20, "21+")</f>
        <v>6-10</v>
      </c>
      <c r="L368" t="s">
        <v>99</v>
      </c>
      <c r="M368" s="4" t="str">
        <f t="shared" ref="M368" si="183">_xlfn.TEXTAFTER(L368, " ")</f>
        <v>40</v>
      </c>
      <c r="N368" s="4">
        <f t="shared" si="163"/>
        <v>40</v>
      </c>
      <c r="O368" s="5">
        <v>1.7</v>
      </c>
      <c r="P368">
        <v>1</v>
      </c>
      <c r="Q368" t="s">
        <v>28</v>
      </c>
      <c r="R368">
        <v>72</v>
      </c>
      <c r="S368" s="6">
        <f>R368/100</f>
        <v>0.72</v>
      </c>
    </row>
    <row r="369" spans="1:19" ht="13.5" x14ac:dyDescent="0.25">
      <c r="A369" t="s">
        <v>970</v>
      </c>
      <c r="B369" t="s">
        <v>971</v>
      </c>
      <c r="C369" t="str">
        <f t="shared" si="155"/>
        <v>Manuel Torres</v>
      </c>
      <c r="D369" t="s">
        <v>328</v>
      </c>
      <c r="E369" s="3" t="str">
        <f t="shared" si="162"/>
        <v>Male</v>
      </c>
      <c r="F369" s="5">
        <v>31</v>
      </c>
      <c r="G369" t="s">
        <v>88</v>
      </c>
      <c r="H369" t="s">
        <v>89</v>
      </c>
      <c r="I369" t="s">
        <v>291</v>
      </c>
      <c r="J369" s="5">
        <v>11</v>
      </c>
      <c r="K369" s="3" t="str" cm="1">
        <f t="array" ref="K369">_xlfn.IFS(J369&lt;=5, "0-5", J369&lt;=10, "6-10", J369&lt;=15, "11-15", J369&lt;=20, "16-20", J369&gt;20, "21+")</f>
        <v>11-15</v>
      </c>
      <c r="N369" s="4" t="str">
        <f t="shared" si="163"/>
        <v>NA</v>
      </c>
      <c r="O369" s="5">
        <v>3.3</v>
      </c>
      <c r="P369">
        <v>0</v>
      </c>
      <c r="Q369" t="s">
        <v>54</v>
      </c>
      <c r="S369" s="7"/>
    </row>
    <row r="370" spans="1:19" ht="13.5" x14ac:dyDescent="0.25">
      <c r="A370" t="s">
        <v>972</v>
      </c>
      <c r="B370" t="s">
        <v>973</v>
      </c>
      <c r="C370" t="str">
        <f t="shared" si="155"/>
        <v>Scott Keller</v>
      </c>
      <c r="D370" t="s">
        <v>43</v>
      </c>
      <c r="E370" s="3" t="str">
        <f t="shared" si="162"/>
        <v>Male</v>
      </c>
      <c r="F370" s="5">
        <v>33</v>
      </c>
      <c r="G370" t="s">
        <v>62</v>
      </c>
      <c r="H370" t="s">
        <v>63</v>
      </c>
      <c r="I370" t="s">
        <v>284</v>
      </c>
      <c r="K370" s="3" t="str" cm="1">
        <f t="array" ref="K370">_xlfn.IFS(J370&lt;=5, "0-5", J370&lt;=10, "6-10", J370&lt;=15, "11-15", J370&lt;=20, "16-20", J370&gt;20, "21+")</f>
        <v>0-5</v>
      </c>
      <c r="L370" s="2">
        <v>40</v>
      </c>
      <c r="M370" s="4" t="str">
        <f t="shared" ref="M370:M371" si="184">SUBSTITUTE(L370, "$","")</f>
        <v>40</v>
      </c>
      <c r="N370" s="4">
        <f t="shared" si="163"/>
        <v>40</v>
      </c>
      <c r="O370" s="5">
        <v>4.3</v>
      </c>
      <c r="P370">
        <v>1</v>
      </c>
      <c r="Q370" t="s">
        <v>28</v>
      </c>
      <c r="R370" s="1">
        <v>0.63</v>
      </c>
      <c r="S370" s="6">
        <f>R370</f>
        <v>0.63</v>
      </c>
    </row>
    <row r="371" spans="1:19" ht="13.5" x14ac:dyDescent="0.25">
      <c r="A371" t="s">
        <v>974</v>
      </c>
      <c r="B371" t="s">
        <v>975</v>
      </c>
      <c r="C371" t="str">
        <f t="shared" si="155"/>
        <v>Deborah Brown</v>
      </c>
      <c r="D371" t="s">
        <v>21</v>
      </c>
      <c r="E371" s="3" t="str">
        <f t="shared" si="162"/>
        <v>Female</v>
      </c>
      <c r="F371" s="5">
        <v>31</v>
      </c>
      <c r="G371" t="s">
        <v>47</v>
      </c>
      <c r="H371" t="s">
        <v>48</v>
      </c>
      <c r="I371" t="s">
        <v>284</v>
      </c>
      <c r="J371" s="5">
        <v>3</v>
      </c>
      <c r="K371" s="3" t="str" cm="1">
        <f t="array" ref="K371">_xlfn.IFS(J371&lt;=5, "0-5", J371&lt;=10, "6-10", J371&lt;=15, "11-15", J371&lt;=20, "16-20", J371&gt;20, "21+")</f>
        <v>0-5</v>
      </c>
      <c r="L371" s="2">
        <v>20</v>
      </c>
      <c r="M371" s="4" t="str">
        <f t="shared" si="184"/>
        <v>20</v>
      </c>
      <c r="N371" s="4">
        <f t="shared" si="163"/>
        <v>20</v>
      </c>
      <c r="P371" t="s">
        <v>64</v>
      </c>
      <c r="Q371" t="s">
        <v>54</v>
      </c>
      <c r="S371" s="7"/>
    </row>
    <row r="372" spans="1:19" ht="13.5" x14ac:dyDescent="0.25">
      <c r="A372" t="s">
        <v>976</v>
      </c>
      <c r="B372" t="s">
        <v>977</v>
      </c>
      <c r="C372" t="str">
        <f t="shared" si="155"/>
        <v>Jennifer Lara</v>
      </c>
      <c r="D372" t="s">
        <v>301</v>
      </c>
      <c r="E372" s="3" t="str">
        <f t="shared" si="162"/>
        <v>Female</v>
      </c>
      <c r="F372" s="5">
        <v>49</v>
      </c>
      <c r="G372" t="s">
        <v>253</v>
      </c>
      <c r="H372" t="s">
        <v>254</v>
      </c>
      <c r="I372" t="s">
        <v>291</v>
      </c>
      <c r="J372" s="5">
        <v>15</v>
      </c>
      <c r="K372" s="3" t="str" cm="1">
        <f t="array" ref="K372">_xlfn.IFS(J372&lt;=5, "0-5", J372&lt;=10, "6-10", J372&lt;=15, "11-15", J372&lt;=20, "16-20", J372&gt;20, "21+")</f>
        <v>11-15</v>
      </c>
      <c r="L372" t="s">
        <v>92</v>
      </c>
      <c r="M372" s="4" t="str">
        <f t="shared" ref="M372:M373" si="185">_xlfn.TEXTAFTER(L372, " ")</f>
        <v>75</v>
      </c>
      <c r="N372" s="4">
        <f t="shared" si="163"/>
        <v>75</v>
      </c>
      <c r="O372" s="5">
        <v>2.6</v>
      </c>
      <c r="P372" t="s">
        <v>64</v>
      </c>
      <c r="Q372" t="s">
        <v>54</v>
      </c>
      <c r="R372" s="1">
        <v>0.83</v>
      </c>
      <c r="S372" s="6">
        <f t="shared" ref="S372:S374" si="186">R372</f>
        <v>0.83</v>
      </c>
    </row>
    <row r="373" spans="1:19" ht="13.5" x14ac:dyDescent="0.25">
      <c r="A373" t="s">
        <v>978</v>
      </c>
      <c r="B373" t="s">
        <v>979</v>
      </c>
      <c r="C373" t="str">
        <f t="shared" si="155"/>
        <v>Jason Scott</v>
      </c>
      <c r="D373" t="s">
        <v>31</v>
      </c>
      <c r="E373" s="3" t="str">
        <f t="shared" si="162"/>
        <v>Male</v>
      </c>
      <c r="F373" s="5">
        <v>35</v>
      </c>
      <c r="G373" t="s">
        <v>44</v>
      </c>
      <c r="H373" t="s">
        <v>24</v>
      </c>
      <c r="I373" t="s">
        <v>287</v>
      </c>
      <c r="J373" s="5">
        <v>12</v>
      </c>
      <c r="K373" s="3" t="str" cm="1">
        <f t="array" ref="K373">_xlfn.IFS(J373&lt;=5, "0-5", J373&lt;=10, "6-10", J373&lt;=15, "11-15", J373&lt;=20, "16-20", J373&gt;20, "21+")</f>
        <v>11-15</v>
      </c>
      <c r="L373" t="s">
        <v>78</v>
      </c>
      <c r="M373" s="4" t="str">
        <f t="shared" si="185"/>
        <v>20</v>
      </c>
      <c r="N373" s="4">
        <f t="shared" si="163"/>
        <v>20</v>
      </c>
      <c r="O373" s="5">
        <v>4.0999999999999996</v>
      </c>
      <c r="R373" s="1">
        <v>0.94</v>
      </c>
      <c r="S373" s="6">
        <f t="shared" si="186"/>
        <v>0.94</v>
      </c>
    </row>
    <row r="374" spans="1:19" ht="13.5" x14ac:dyDescent="0.25">
      <c r="A374" t="s">
        <v>980</v>
      </c>
      <c r="B374" t="s">
        <v>981</v>
      </c>
      <c r="C374" t="str">
        <f t="shared" si="155"/>
        <v>Gregory Garrison</v>
      </c>
      <c r="D374" t="s">
        <v>328</v>
      </c>
      <c r="E374" s="3" t="str">
        <f t="shared" si="162"/>
        <v>Male</v>
      </c>
      <c r="F374" s="5">
        <v>45</v>
      </c>
      <c r="G374" t="s">
        <v>146</v>
      </c>
      <c r="H374" t="s">
        <v>147</v>
      </c>
      <c r="I374" t="s">
        <v>291</v>
      </c>
      <c r="J374" s="5">
        <v>19</v>
      </c>
      <c r="K374" s="3" t="str" cm="1">
        <f t="array" ref="K374">_xlfn.IFS(J374&lt;=5, "0-5", J374&lt;=10, "6-10", J374&lt;=15, "11-15", J374&lt;=20, "16-20", J374&gt;20, "21+")</f>
        <v>16-20</v>
      </c>
      <c r="L374" s="2">
        <v>40</v>
      </c>
      <c r="M374" s="4" t="str">
        <f>SUBSTITUTE(L374, "$","")</f>
        <v>40</v>
      </c>
      <c r="N374" s="4">
        <f t="shared" si="163"/>
        <v>40</v>
      </c>
      <c r="O374" s="5">
        <v>2.2000000000000002</v>
      </c>
      <c r="P374">
        <v>1</v>
      </c>
      <c r="Q374" t="s">
        <v>28</v>
      </c>
      <c r="R374" s="1">
        <v>0.78</v>
      </c>
      <c r="S374" s="6">
        <f t="shared" si="186"/>
        <v>0.78</v>
      </c>
    </row>
    <row r="375" spans="1:19" ht="13.5" x14ac:dyDescent="0.25">
      <c r="A375" t="s">
        <v>982</v>
      </c>
      <c r="B375" t="s">
        <v>983</v>
      </c>
      <c r="C375" t="str">
        <f t="shared" si="155"/>
        <v>Chelsea Anderson</v>
      </c>
      <c r="D375" t="s">
        <v>304</v>
      </c>
      <c r="E375" s="3" t="str">
        <f t="shared" si="162"/>
        <v>Female</v>
      </c>
      <c r="F375" s="5">
        <v>39</v>
      </c>
      <c r="G375" t="s">
        <v>52</v>
      </c>
      <c r="H375" t="s">
        <v>53</v>
      </c>
      <c r="I375" t="s">
        <v>291</v>
      </c>
      <c r="J375" s="5">
        <v>13</v>
      </c>
      <c r="K375" s="3" t="str" cm="1">
        <f t="array" ref="K375">_xlfn.IFS(J375&lt;=5, "0-5", J375&lt;=10, "6-10", J375&lt;=15, "11-15", J375&lt;=20, "16-20", J375&gt;20, "21+")</f>
        <v>11-15</v>
      </c>
      <c r="L375">
        <v>30</v>
      </c>
      <c r="M375" s="4">
        <f>L375</f>
        <v>30</v>
      </c>
      <c r="N375" s="4">
        <f t="shared" si="163"/>
        <v>30</v>
      </c>
      <c r="O375" s="5">
        <v>1.1000000000000001</v>
      </c>
      <c r="P375">
        <v>1</v>
      </c>
      <c r="Q375" t="s">
        <v>28</v>
      </c>
      <c r="S375" s="7"/>
    </row>
    <row r="376" spans="1:19" ht="13.5" x14ac:dyDescent="0.25">
      <c r="A376" t="s">
        <v>984</v>
      </c>
      <c r="B376" t="s">
        <v>985</v>
      </c>
      <c r="C376" t="str">
        <f t="shared" ref="C376:C398" si="187">B376</f>
        <v>Gerald Johnson</v>
      </c>
      <c r="D376" t="s">
        <v>311</v>
      </c>
      <c r="E376" s="3" t="str">
        <f t="shared" si="162"/>
        <v>Male</v>
      </c>
      <c r="G376" t="s">
        <v>23</v>
      </c>
      <c r="H376" t="s">
        <v>24</v>
      </c>
      <c r="I376" t="s">
        <v>292</v>
      </c>
      <c r="K376" s="3" t="str" cm="1">
        <f t="array" ref="K376">_xlfn.IFS(J376&lt;=5, "0-5", J376&lt;=10, "6-10", J376&lt;=15, "11-15", J376&lt;=20, "16-20", J376&gt;20, "21+")</f>
        <v>0-5</v>
      </c>
      <c r="L376" s="2">
        <v>50</v>
      </c>
      <c r="M376" s="4" t="str">
        <f t="shared" ref="M376:M377" si="188">SUBSTITUTE(L376, "$","")</f>
        <v>50</v>
      </c>
      <c r="N376" s="4">
        <f t="shared" si="163"/>
        <v>50</v>
      </c>
      <c r="O376" s="5">
        <v>2.1</v>
      </c>
      <c r="P376">
        <v>1</v>
      </c>
      <c r="Q376" t="s">
        <v>28</v>
      </c>
      <c r="R376" s="1">
        <v>0.82</v>
      </c>
      <c r="S376" s="6">
        <f t="shared" ref="S376:S377" si="189">R376</f>
        <v>0.82</v>
      </c>
    </row>
    <row r="377" spans="1:19" ht="13.5" x14ac:dyDescent="0.25">
      <c r="A377" t="s">
        <v>986</v>
      </c>
      <c r="B377" t="s">
        <v>987</v>
      </c>
      <c r="C377" t="str">
        <f t="shared" si="187"/>
        <v>Kevin Ellis</v>
      </c>
      <c r="D377" t="s">
        <v>31</v>
      </c>
      <c r="E377" s="3" t="str">
        <f t="shared" si="162"/>
        <v>Male</v>
      </c>
      <c r="F377" s="5">
        <v>24</v>
      </c>
      <c r="G377" t="s">
        <v>33</v>
      </c>
      <c r="H377" t="s">
        <v>34</v>
      </c>
      <c r="I377" t="s">
        <v>288</v>
      </c>
      <c r="J377" s="5">
        <v>3</v>
      </c>
      <c r="K377" s="3" t="str" cm="1">
        <f t="array" ref="K377">_xlfn.IFS(J377&lt;=5, "0-5", J377&lt;=10, "6-10", J377&lt;=15, "11-15", J377&lt;=20, "16-20", J377&gt;20, "21+")</f>
        <v>0-5</v>
      </c>
      <c r="L377" s="2">
        <v>30</v>
      </c>
      <c r="M377" s="4" t="str">
        <f t="shared" si="188"/>
        <v>30</v>
      </c>
      <c r="N377" s="4">
        <f t="shared" si="163"/>
        <v>30</v>
      </c>
      <c r="O377" s="5">
        <v>2.2999999999999998</v>
      </c>
      <c r="P377" t="b">
        <v>0</v>
      </c>
      <c r="Q377" t="s">
        <v>54</v>
      </c>
      <c r="R377" s="1">
        <v>0.66</v>
      </c>
      <c r="S377" s="6">
        <f t="shared" si="189"/>
        <v>0.66</v>
      </c>
    </row>
    <row r="378" spans="1:19" ht="13.5" x14ac:dyDescent="0.25">
      <c r="A378" t="s">
        <v>988</v>
      </c>
      <c r="B378" t="s">
        <v>989</v>
      </c>
      <c r="C378" t="str">
        <f t="shared" si="187"/>
        <v>Mitchell Keller</v>
      </c>
      <c r="D378" t="s">
        <v>32</v>
      </c>
      <c r="E378" s="3" t="str">
        <f t="shared" si="162"/>
        <v>Male</v>
      </c>
      <c r="F378" s="5">
        <v>50</v>
      </c>
      <c r="G378" t="s">
        <v>38</v>
      </c>
      <c r="H378" t="s">
        <v>39</v>
      </c>
      <c r="I378" t="s">
        <v>287</v>
      </c>
      <c r="J378" s="5">
        <v>26</v>
      </c>
      <c r="K378" s="3" t="str" cm="1">
        <f t="array" ref="K378">_xlfn.IFS(J378&lt;=5, "0-5", J378&lt;=10, "6-10", J378&lt;=15, "11-15", J378&lt;=20, "16-20", J378&gt;20, "21+")</f>
        <v>21+</v>
      </c>
      <c r="N378" s="4" t="str">
        <f t="shared" si="163"/>
        <v>NA</v>
      </c>
      <c r="O378" s="5">
        <v>3.6</v>
      </c>
      <c r="P378">
        <v>1</v>
      </c>
      <c r="Q378" t="s">
        <v>28</v>
      </c>
      <c r="R378">
        <v>82</v>
      </c>
      <c r="S378" s="6">
        <f>R378/100</f>
        <v>0.82</v>
      </c>
    </row>
    <row r="379" spans="1:19" ht="13.5" x14ac:dyDescent="0.25">
      <c r="A379" t="s">
        <v>990</v>
      </c>
      <c r="B379" t="s">
        <v>991</v>
      </c>
      <c r="C379" t="str">
        <f t="shared" si="187"/>
        <v>Mary Brown</v>
      </c>
      <c r="D379" t="s">
        <v>304</v>
      </c>
      <c r="E379" s="3" t="str">
        <f t="shared" si="162"/>
        <v>Female</v>
      </c>
      <c r="F379" s="5">
        <v>23</v>
      </c>
      <c r="G379" t="s">
        <v>33</v>
      </c>
      <c r="H379" t="s">
        <v>34</v>
      </c>
      <c r="I379" t="s">
        <v>284</v>
      </c>
      <c r="J379" s="5">
        <v>4</v>
      </c>
      <c r="K379" s="3" t="str" cm="1">
        <f t="array" ref="K379">_xlfn.IFS(J379&lt;=5, "0-5", J379&lt;=10, "6-10", J379&lt;=15, "11-15", J379&lt;=20, "16-20", J379&gt;20, "21+")</f>
        <v>0-5</v>
      </c>
      <c r="L379" t="s">
        <v>78</v>
      </c>
      <c r="M379" s="4" t="str">
        <f t="shared" ref="M379" si="190">_xlfn.TEXTAFTER(L379, " ")</f>
        <v>20</v>
      </c>
      <c r="N379" s="4">
        <f t="shared" si="163"/>
        <v>20</v>
      </c>
      <c r="O379" s="5">
        <v>4.7</v>
      </c>
      <c r="P379" t="b">
        <v>1</v>
      </c>
      <c r="Q379" t="s">
        <v>28</v>
      </c>
      <c r="R379" s="1">
        <v>0.84</v>
      </c>
      <c r="S379" s="6">
        <f t="shared" ref="S379:S380" si="191">R379</f>
        <v>0.84</v>
      </c>
    </row>
    <row r="380" spans="1:19" ht="13.5" x14ac:dyDescent="0.25">
      <c r="A380" t="s">
        <v>992</v>
      </c>
      <c r="B380" t="s">
        <v>993</v>
      </c>
      <c r="C380" t="str">
        <f t="shared" si="187"/>
        <v>Ronald Walls</v>
      </c>
      <c r="D380" t="s">
        <v>311</v>
      </c>
      <c r="E380" s="3" t="str">
        <f t="shared" si="162"/>
        <v>Male</v>
      </c>
      <c r="F380" s="5">
        <v>27</v>
      </c>
      <c r="G380" t="s">
        <v>125</v>
      </c>
      <c r="H380" t="s">
        <v>39</v>
      </c>
      <c r="I380" t="s">
        <v>288</v>
      </c>
      <c r="J380" s="5">
        <v>8</v>
      </c>
      <c r="K380" s="3" t="str" cm="1">
        <f t="array" ref="K380">_xlfn.IFS(J380&lt;=5, "0-5", J380&lt;=10, "6-10", J380&lt;=15, "11-15", J380&lt;=20, "16-20", J380&gt;20, "21+")</f>
        <v>6-10</v>
      </c>
      <c r="L380">
        <v>20</v>
      </c>
      <c r="M380" s="4">
        <f t="shared" ref="M380:M381" si="192">L380</f>
        <v>20</v>
      </c>
      <c r="N380" s="4">
        <f t="shared" si="163"/>
        <v>20</v>
      </c>
      <c r="O380" s="5">
        <v>4.8</v>
      </c>
      <c r="P380" t="s">
        <v>64</v>
      </c>
      <c r="Q380" t="s">
        <v>54</v>
      </c>
      <c r="R380" s="1">
        <v>0.81</v>
      </c>
      <c r="S380" s="6">
        <f t="shared" si="191"/>
        <v>0.81</v>
      </c>
    </row>
    <row r="381" spans="1:19" ht="13.5" x14ac:dyDescent="0.25">
      <c r="A381" t="s">
        <v>245</v>
      </c>
      <c r="B381" t="s">
        <v>246</v>
      </c>
      <c r="C381" t="str">
        <f t="shared" si="187"/>
        <v>Anthony Avila</v>
      </c>
      <c r="D381" t="s">
        <v>32</v>
      </c>
      <c r="E381" s="3" t="str">
        <f t="shared" si="162"/>
        <v>Male</v>
      </c>
      <c r="F381" s="5">
        <v>58</v>
      </c>
      <c r="G381" t="s">
        <v>177</v>
      </c>
      <c r="H381" t="s">
        <v>178</v>
      </c>
      <c r="I381" t="s">
        <v>25</v>
      </c>
      <c r="J381" s="5">
        <v>10</v>
      </c>
      <c r="K381" s="3" t="str" cm="1">
        <f t="array" ref="K381">_xlfn.IFS(J381&lt;=5, "0-5", J381&lt;=10, "6-10", J381&lt;=15, "11-15", J381&lt;=20, "16-20", J381&gt;20, "21+")</f>
        <v>6-10</v>
      </c>
      <c r="L381">
        <v>75</v>
      </c>
      <c r="M381" s="4">
        <f t="shared" si="192"/>
        <v>75</v>
      </c>
      <c r="N381" s="4">
        <f t="shared" si="163"/>
        <v>75</v>
      </c>
      <c r="O381" s="5">
        <v>4.2</v>
      </c>
      <c r="P381" t="s">
        <v>64</v>
      </c>
      <c r="Q381" t="s">
        <v>54</v>
      </c>
      <c r="R381">
        <v>71</v>
      </c>
      <c r="S381" s="6">
        <f>R381/100</f>
        <v>0.71</v>
      </c>
    </row>
    <row r="382" spans="1:19" ht="13.5" x14ac:dyDescent="0.25">
      <c r="A382" t="s">
        <v>994</v>
      </c>
      <c r="B382" t="s">
        <v>995</v>
      </c>
      <c r="C382" t="str">
        <f t="shared" si="187"/>
        <v>Douglas Goodwin</v>
      </c>
      <c r="D382" t="s">
        <v>43</v>
      </c>
      <c r="E382" s="3" t="str">
        <f t="shared" si="162"/>
        <v>Male</v>
      </c>
      <c r="F382" s="5">
        <v>37</v>
      </c>
      <c r="G382" t="s">
        <v>253</v>
      </c>
      <c r="H382" t="s">
        <v>254</v>
      </c>
      <c r="I382" t="s">
        <v>284</v>
      </c>
      <c r="J382" s="5">
        <v>5</v>
      </c>
      <c r="K382" s="3" t="str" cm="1">
        <f t="array" ref="K382">_xlfn.IFS(J382&lt;=5, "0-5", J382&lt;=10, "6-10", J382&lt;=15, "11-15", J382&lt;=20, "16-20", J382&gt;20, "21+")</f>
        <v>0-5</v>
      </c>
      <c r="N382" s="4" t="str">
        <f t="shared" si="163"/>
        <v>NA</v>
      </c>
      <c r="O382" s="5">
        <v>4.8</v>
      </c>
      <c r="P382">
        <v>1</v>
      </c>
      <c r="Q382" t="s">
        <v>28</v>
      </c>
      <c r="R382" s="1">
        <v>0.61</v>
      </c>
      <c r="S382" s="6">
        <f t="shared" ref="S382:S388" si="193">R382</f>
        <v>0.61</v>
      </c>
    </row>
    <row r="383" spans="1:19" ht="13.5" x14ac:dyDescent="0.25">
      <c r="A383" t="s">
        <v>996</v>
      </c>
      <c r="B383" t="s">
        <v>997</v>
      </c>
      <c r="C383" t="str">
        <f t="shared" si="187"/>
        <v>James Mills</v>
      </c>
      <c r="D383" t="s">
        <v>311</v>
      </c>
      <c r="E383" s="3" t="str">
        <f t="shared" si="162"/>
        <v>Male</v>
      </c>
      <c r="F383" s="5">
        <v>39</v>
      </c>
      <c r="G383" t="s">
        <v>84</v>
      </c>
      <c r="H383" t="s">
        <v>24</v>
      </c>
      <c r="I383" t="s">
        <v>292</v>
      </c>
      <c r="J383" s="5">
        <v>18</v>
      </c>
      <c r="K383" s="3" t="str" cm="1">
        <f t="array" ref="K383">_xlfn.IFS(J383&lt;=5, "0-5", J383&lt;=10, "6-10", J383&lt;=15, "11-15", J383&lt;=20, "16-20", J383&gt;20, "21+")</f>
        <v>16-20</v>
      </c>
      <c r="L383">
        <v>75</v>
      </c>
      <c r="M383" s="4">
        <f>L383</f>
        <v>75</v>
      </c>
      <c r="N383" s="4">
        <f t="shared" si="163"/>
        <v>75</v>
      </c>
      <c r="O383" s="5">
        <v>4</v>
      </c>
      <c r="P383">
        <v>1</v>
      </c>
      <c r="Q383" t="s">
        <v>28</v>
      </c>
      <c r="R383" s="1">
        <v>0.66</v>
      </c>
      <c r="S383" s="6">
        <f t="shared" si="193"/>
        <v>0.66</v>
      </c>
    </row>
    <row r="384" spans="1:19" ht="13.5" x14ac:dyDescent="0.25">
      <c r="A384" t="s">
        <v>998</v>
      </c>
      <c r="B384" t="s">
        <v>999</v>
      </c>
      <c r="C384" t="str">
        <f t="shared" si="187"/>
        <v>Nicole Marks</v>
      </c>
      <c r="D384" t="s">
        <v>21</v>
      </c>
      <c r="E384" s="3" t="str">
        <f t="shared" si="162"/>
        <v>Female</v>
      </c>
      <c r="F384" s="5">
        <v>46</v>
      </c>
      <c r="G384" t="s">
        <v>117</v>
      </c>
      <c r="H384" t="s">
        <v>118</v>
      </c>
      <c r="I384" t="s">
        <v>291</v>
      </c>
      <c r="J384" s="5">
        <v>10</v>
      </c>
      <c r="K384" s="3" t="str" cm="1">
        <f t="array" ref="K384">_xlfn.IFS(J384&lt;=5, "0-5", J384&lt;=10, "6-10", J384&lt;=15, "11-15", J384&lt;=20, "16-20", J384&gt;20, "21+")</f>
        <v>6-10</v>
      </c>
      <c r="L384" s="2">
        <v>20</v>
      </c>
      <c r="M384" s="4" t="str">
        <f>SUBSTITUTE(L384, "$","")</f>
        <v>20</v>
      </c>
      <c r="N384" s="4">
        <f t="shared" si="163"/>
        <v>20</v>
      </c>
      <c r="O384" s="5">
        <v>2.5</v>
      </c>
      <c r="P384" t="b">
        <v>1</v>
      </c>
      <c r="Q384" t="s">
        <v>28</v>
      </c>
      <c r="R384" s="1">
        <v>0.97</v>
      </c>
      <c r="S384" s="6">
        <f t="shared" si="193"/>
        <v>0.97</v>
      </c>
    </row>
    <row r="385" spans="1:19" ht="13.5" x14ac:dyDescent="0.25">
      <c r="A385" t="s">
        <v>1000</v>
      </c>
      <c r="B385" t="s">
        <v>1001</v>
      </c>
      <c r="C385" t="str">
        <f t="shared" si="187"/>
        <v>Phyllis Dawson</v>
      </c>
      <c r="D385" t="s">
        <v>22</v>
      </c>
      <c r="E385" s="3" t="str">
        <f t="shared" si="162"/>
        <v>Female</v>
      </c>
      <c r="G385" t="s">
        <v>152</v>
      </c>
      <c r="H385" t="s">
        <v>39</v>
      </c>
      <c r="I385" t="s">
        <v>286</v>
      </c>
      <c r="J385" s="5">
        <v>0</v>
      </c>
      <c r="K385" s="3" t="str" cm="1">
        <f t="array" ref="K385">_xlfn.IFS(J385&lt;=5, "0-5", J385&lt;=10, "6-10", J385&lt;=15, "11-15", J385&lt;=20, "16-20", J385&gt;20, "21+")</f>
        <v>0-5</v>
      </c>
      <c r="L385" t="s">
        <v>78</v>
      </c>
      <c r="M385" s="4" t="str">
        <f t="shared" ref="M385" si="194">_xlfn.TEXTAFTER(L385, " ")</f>
        <v>20</v>
      </c>
      <c r="N385" s="4">
        <f t="shared" si="163"/>
        <v>20</v>
      </c>
      <c r="O385" s="5">
        <v>4.8</v>
      </c>
      <c r="P385">
        <v>0</v>
      </c>
      <c r="Q385" t="s">
        <v>54</v>
      </c>
      <c r="R385" s="1">
        <v>0.74</v>
      </c>
      <c r="S385" s="6">
        <f t="shared" si="193"/>
        <v>0.74</v>
      </c>
    </row>
    <row r="386" spans="1:19" ht="13.5" x14ac:dyDescent="0.25">
      <c r="A386" t="s">
        <v>1002</v>
      </c>
      <c r="B386" t="s">
        <v>1003</v>
      </c>
      <c r="C386" t="str">
        <f t="shared" si="187"/>
        <v>Renee Arnold</v>
      </c>
      <c r="D386" t="s">
        <v>37</v>
      </c>
      <c r="E386" s="3" t="str">
        <f t="shared" si="162"/>
        <v>Female</v>
      </c>
      <c r="F386" s="5">
        <v>39</v>
      </c>
      <c r="G386" t="s">
        <v>44</v>
      </c>
      <c r="H386" t="s">
        <v>24</v>
      </c>
      <c r="I386" t="s">
        <v>292</v>
      </c>
      <c r="J386" s="5">
        <v>21</v>
      </c>
      <c r="K386" s="3" t="str" cm="1">
        <f t="array" ref="K386">_xlfn.IFS(J386&lt;=5, "0-5", J386&lt;=10, "6-10", J386&lt;=15, "11-15", J386&lt;=20, "16-20", J386&gt;20, "21+")</f>
        <v>21+</v>
      </c>
      <c r="L386">
        <v>30</v>
      </c>
      <c r="M386" s="4">
        <f t="shared" ref="M386:M387" si="195">L386</f>
        <v>30</v>
      </c>
      <c r="N386" s="4">
        <f t="shared" si="163"/>
        <v>30</v>
      </c>
      <c r="O386" s="5">
        <v>4.7</v>
      </c>
      <c r="P386" t="b">
        <v>0</v>
      </c>
      <c r="Q386" t="s">
        <v>54</v>
      </c>
      <c r="R386" s="1">
        <v>0.61</v>
      </c>
      <c r="S386" s="6">
        <f t="shared" si="193"/>
        <v>0.61</v>
      </c>
    </row>
    <row r="387" spans="1:19" ht="13.5" x14ac:dyDescent="0.25">
      <c r="A387" t="s">
        <v>1004</v>
      </c>
      <c r="B387" t="s">
        <v>1005</v>
      </c>
      <c r="C387" t="str">
        <f t="shared" si="187"/>
        <v>Eric Robinson</v>
      </c>
      <c r="D387" t="s">
        <v>328</v>
      </c>
      <c r="E387" s="3" t="str">
        <f t="shared" ref="E387:E450" si="196">IF(LOWER(LEFT(D387,1)) = "f", "Female", "Male")</f>
        <v>Male</v>
      </c>
      <c r="F387" s="5">
        <v>59</v>
      </c>
      <c r="G387" t="s">
        <v>117</v>
      </c>
      <c r="H387" t="s">
        <v>118</v>
      </c>
      <c r="I387" t="s">
        <v>292</v>
      </c>
      <c r="J387" s="5">
        <v>25</v>
      </c>
      <c r="K387" s="3" t="str" cm="1">
        <f t="array" ref="K387">_xlfn.IFS(J387&lt;=5, "0-5", J387&lt;=10, "6-10", J387&lt;=15, "11-15", J387&lt;=20, "16-20", J387&gt;20, "21+")</f>
        <v>21+</v>
      </c>
      <c r="L387">
        <v>20</v>
      </c>
      <c r="M387" s="4">
        <f t="shared" si="195"/>
        <v>20</v>
      </c>
      <c r="N387" s="4">
        <f t="shared" ref="N387:N450" si="197">IF(M387="","NA",ROUND(M387,0))</f>
        <v>20</v>
      </c>
      <c r="O387" s="5">
        <v>4</v>
      </c>
      <c r="P387">
        <v>0</v>
      </c>
      <c r="Q387" t="s">
        <v>54</v>
      </c>
      <c r="R387" s="1">
        <v>0.9</v>
      </c>
      <c r="S387" s="6">
        <f t="shared" si="193"/>
        <v>0.9</v>
      </c>
    </row>
    <row r="388" spans="1:19" ht="13.5" x14ac:dyDescent="0.25">
      <c r="A388" t="s">
        <v>1006</v>
      </c>
      <c r="B388" t="s">
        <v>1007</v>
      </c>
      <c r="C388" t="str">
        <f t="shared" si="187"/>
        <v>Paul Brown</v>
      </c>
      <c r="D388" t="s">
        <v>43</v>
      </c>
      <c r="E388" s="3" t="str">
        <f t="shared" si="196"/>
        <v>Male</v>
      </c>
      <c r="F388" s="5">
        <v>21</v>
      </c>
      <c r="G388" t="s">
        <v>52</v>
      </c>
      <c r="H388" t="s">
        <v>53</v>
      </c>
      <c r="I388" t="s">
        <v>283</v>
      </c>
      <c r="J388" s="5">
        <v>0</v>
      </c>
      <c r="K388" s="3" t="str" cm="1">
        <f t="array" ref="K388">_xlfn.IFS(J388&lt;=5, "0-5", J388&lt;=10, "6-10", J388&lt;=15, "11-15", J388&lt;=20, "16-20", J388&gt;20, "21+")</f>
        <v>0-5</v>
      </c>
      <c r="L388" s="2">
        <v>40</v>
      </c>
      <c r="M388" s="4" t="str">
        <f>SUBSTITUTE(L388, "$","")</f>
        <v>40</v>
      </c>
      <c r="N388" s="4">
        <f t="shared" si="197"/>
        <v>40</v>
      </c>
      <c r="O388" s="5">
        <v>4.0999999999999996</v>
      </c>
      <c r="P388" t="s">
        <v>57</v>
      </c>
      <c r="Q388" t="s">
        <v>28</v>
      </c>
      <c r="R388" s="1">
        <v>0.97</v>
      </c>
      <c r="S388" s="6">
        <f t="shared" si="193"/>
        <v>0.97</v>
      </c>
    </row>
    <row r="389" spans="1:19" ht="13.5" x14ac:dyDescent="0.25">
      <c r="A389" t="s">
        <v>1008</v>
      </c>
      <c r="B389" t="s">
        <v>1009</v>
      </c>
      <c r="C389" t="str">
        <f t="shared" si="187"/>
        <v>Sarah Proctor</v>
      </c>
      <c r="D389" t="s">
        <v>21</v>
      </c>
      <c r="E389" s="3" t="str">
        <f t="shared" si="196"/>
        <v>Female</v>
      </c>
      <c r="F389" s="5">
        <v>23</v>
      </c>
      <c r="G389" t="s">
        <v>125</v>
      </c>
      <c r="H389" t="s">
        <v>39</v>
      </c>
      <c r="I389" t="s">
        <v>283</v>
      </c>
      <c r="J389" s="5">
        <v>5</v>
      </c>
      <c r="K389" s="3" t="str" cm="1">
        <f t="array" ref="K389">_xlfn.IFS(J389&lt;=5, "0-5", J389&lt;=10, "6-10", J389&lt;=15, "11-15", J389&lt;=20, "16-20", J389&gt;20, "21+")</f>
        <v>0-5</v>
      </c>
      <c r="L389">
        <v>100</v>
      </c>
      <c r="M389" s="4">
        <f t="shared" ref="M389:M392" si="198">L389</f>
        <v>100</v>
      </c>
      <c r="N389" s="4">
        <f t="shared" si="197"/>
        <v>100</v>
      </c>
      <c r="O389" s="5">
        <v>3.2</v>
      </c>
      <c r="P389">
        <v>1</v>
      </c>
      <c r="Q389" t="s">
        <v>28</v>
      </c>
      <c r="S389" s="7"/>
    </row>
    <row r="390" spans="1:19" ht="13.5" x14ac:dyDescent="0.25">
      <c r="A390" t="s">
        <v>1010</v>
      </c>
      <c r="B390" t="s">
        <v>1011</v>
      </c>
      <c r="C390" t="str">
        <f t="shared" si="187"/>
        <v>Matthew Hicks</v>
      </c>
      <c r="D390" t="s">
        <v>43</v>
      </c>
      <c r="E390" s="3" t="str">
        <f t="shared" si="196"/>
        <v>Male</v>
      </c>
      <c r="F390" s="5">
        <v>27</v>
      </c>
      <c r="G390" t="s">
        <v>117</v>
      </c>
      <c r="H390" t="s">
        <v>118</v>
      </c>
      <c r="I390" t="s">
        <v>290</v>
      </c>
      <c r="J390" s="5">
        <v>1</v>
      </c>
      <c r="K390" s="3" t="str" cm="1">
        <f t="array" ref="K390">_xlfn.IFS(J390&lt;=5, "0-5", J390&lt;=10, "6-10", J390&lt;=15, "11-15", J390&lt;=20, "16-20", J390&gt;20, "21+")</f>
        <v>0-5</v>
      </c>
      <c r="L390">
        <v>20</v>
      </c>
      <c r="M390" s="4">
        <f t="shared" si="198"/>
        <v>20</v>
      </c>
      <c r="N390" s="4">
        <f t="shared" si="197"/>
        <v>20</v>
      </c>
      <c r="O390" s="5">
        <v>4.3</v>
      </c>
      <c r="P390" t="s">
        <v>64</v>
      </c>
      <c r="Q390" t="s">
        <v>54</v>
      </c>
      <c r="R390" s="1">
        <v>0.76</v>
      </c>
      <c r="S390" s="6">
        <f t="shared" ref="S390:S391" si="199">R390</f>
        <v>0.76</v>
      </c>
    </row>
    <row r="391" spans="1:19" ht="13.5" x14ac:dyDescent="0.25">
      <c r="A391" t="s">
        <v>1012</v>
      </c>
      <c r="B391" t="s">
        <v>1013</v>
      </c>
      <c r="C391" t="str">
        <f t="shared" si="187"/>
        <v>Christopher Black</v>
      </c>
      <c r="D391" t="s">
        <v>43</v>
      </c>
      <c r="E391" s="3" t="str">
        <f t="shared" si="196"/>
        <v>Male</v>
      </c>
      <c r="F391" s="5">
        <v>27</v>
      </c>
      <c r="G391" t="s">
        <v>165</v>
      </c>
      <c r="H391" t="s">
        <v>166</v>
      </c>
      <c r="I391" t="s">
        <v>288</v>
      </c>
      <c r="J391" s="5">
        <v>4</v>
      </c>
      <c r="K391" s="3" t="str" cm="1">
        <f t="array" ref="K391">_xlfn.IFS(J391&lt;=5, "0-5", J391&lt;=10, "6-10", J391&lt;=15, "11-15", J391&lt;=20, "16-20", J391&gt;20, "21+")</f>
        <v>0-5</v>
      </c>
      <c r="L391">
        <v>40</v>
      </c>
      <c r="M391" s="4">
        <f t="shared" si="198"/>
        <v>40</v>
      </c>
      <c r="N391" s="4">
        <f t="shared" si="197"/>
        <v>40</v>
      </c>
      <c r="O391" s="5">
        <v>4.4000000000000004</v>
      </c>
      <c r="P391">
        <v>0</v>
      </c>
      <c r="Q391" t="s">
        <v>54</v>
      </c>
      <c r="R391" s="1">
        <v>0.92</v>
      </c>
      <c r="S391" s="6">
        <f t="shared" si="199"/>
        <v>0.92</v>
      </c>
    </row>
    <row r="392" spans="1:19" ht="13.5" x14ac:dyDescent="0.25">
      <c r="A392" t="s">
        <v>1014</v>
      </c>
      <c r="B392" t="s">
        <v>1015</v>
      </c>
      <c r="C392" t="str">
        <f t="shared" si="187"/>
        <v>Joanne Reyes</v>
      </c>
      <c r="D392" t="s">
        <v>301</v>
      </c>
      <c r="E392" s="3" t="str">
        <f t="shared" si="196"/>
        <v>Female</v>
      </c>
      <c r="F392" s="5">
        <v>48</v>
      </c>
      <c r="G392" t="s">
        <v>177</v>
      </c>
      <c r="H392" t="s">
        <v>178</v>
      </c>
      <c r="I392" t="s">
        <v>291</v>
      </c>
      <c r="J392" s="5">
        <v>21</v>
      </c>
      <c r="K392" s="3" t="str" cm="1">
        <f t="array" ref="K392">_xlfn.IFS(J392&lt;=5, "0-5", J392&lt;=10, "6-10", J392&lt;=15, "11-15", J392&lt;=20, "16-20", J392&gt;20, "21+")</f>
        <v>21+</v>
      </c>
      <c r="L392">
        <v>40</v>
      </c>
      <c r="M392" s="4">
        <f t="shared" si="198"/>
        <v>40</v>
      </c>
      <c r="N392" s="4">
        <f t="shared" si="197"/>
        <v>40</v>
      </c>
      <c r="O392" s="5">
        <v>2.2999999999999998</v>
      </c>
      <c r="P392">
        <v>0</v>
      </c>
      <c r="Q392" t="s">
        <v>54</v>
      </c>
      <c r="S392" s="7"/>
    </row>
    <row r="393" spans="1:19" ht="13.5" x14ac:dyDescent="0.25">
      <c r="A393" t="s">
        <v>243</v>
      </c>
      <c r="B393" t="s">
        <v>244</v>
      </c>
      <c r="C393" t="str">
        <f t="shared" si="187"/>
        <v>Isaac Gray</v>
      </c>
      <c r="D393" t="s">
        <v>311</v>
      </c>
      <c r="E393" s="3" t="str">
        <f t="shared" si="196"/>
        <v>Male</v>
      </c>
      <c r="F393" s="5">
        <v>21</v>
      </c>
      <c r="G393" t="s">
        <v>177</v>
      </c>
      <c r="H393" t="s">
        <v>178</v>
      </c>
      <c r="I393" t="s">
        <v>25</v>
      </c>
      <c r="J393" s="5">
        <v>1</v>
      </c>
      <c r="K393" s="3" t="str" cm="1">
        <f t="array" ref="K393">_xlfn.IFS(J393&lt;=5, "0-5", J393&lt;=10, "6-10", J393&lt;=15, "11-15", J393&lt;=20, "16-20", J393&gt;20, "21+")</f>
        <v>0-5</v>
      </c>
      <c r="L393" s="2">
        <v>20</v>
      </c>
      <c r="M393" s="4" t="str">
        <f>SUBSTITUTE(L393, "$","")</f>
        <v>20</v>
      </c>
      <c r="N393" s="4">
        <f t="shared" si="197"/>
        <v>20</v>
      </c>
      <c r="O393" s="5">
        <v>2.4</v>
      </c>
      <c r="P393">
        <v>1</v>
      </c>
      <c r="Q393" t="s">
        <v>28</v>
      </c>
      <c r="R393" s="1">
        <v>0.66</v>
      </c>
      <c r="S393" s="6">
        <f t="shared" ref="S393:S394" si="200">R393</f>
        <v>0.66</v>
      </c>
    </row>
    <row r="394" spans="1:19" ht="13.5" x14ac:dyDescent="0.25">
      <c r="A394" t="s">
        <v>1016</v>
      </c>
      <c r="B394" t="s">
        <v>1017</v>
      </c>
      <c r="C394" t="str">
        <f t="shared" si="187"/>
        <v>Joshua Roberts</v>
      </c>
      <c r="D394" t="s">
        <v>43</v>
      </c>
      <c r="E394" s="3" t="str">
        <f t="shared" si="196"/>
        <v>Male</v>
      </c>
      <c r="F394" s="5">
        <v>37</v>
      </c>
      <c r="G394" t="s">
        <v>253</v>
      </c>
      <c r="H394" t="s">
        <v>254</v>
      </c>
      <c r="I394" t="s">
        <v>283</v>
      </c>
      <c r="K394" s="3" t="str" cm="1">
        <f t="array" ref="K394">_xlfn.IFS(J394&lt;=5, "0-5", J394&lt;=10, "6-10", J394&lt;=15, "11-15", J394&lt;=20, "16-20", J394&gt;20, "21+")</f>
        <v>0-5</v>
      </c>
      <c r="L394">
        <v>50</v>
      </c>
      <c r="M394" s="4">
        <f>L394</f>
        <v>50</v>
      </c>
      <c r="N394" s="4">
        <f t="shared" si="197"/>
        <v>50</v>
      </c>
      <c r="O394" s="5">
        <v>4.5999999999999996</v>
      </c>
      <c r="P394">
        <v>0</v>
      </c>
      <c r="Q394" t="s">
        <v>54</v>
      </c>
      <c r="R394" s="1">
        <v>0.83</v>
      </c>
      <c r="S394" s="6">
        <f t="shared" si="200"/>
        <v>0.83</v>
      </c>
    </row>
    <row r="395" spans="1:19" ht="13.5" x14ac:dyDescent="0.25">
      <c r="A395" t="s">
        <v>1018</v>
      </c>
      <c r="B395" t="s">
        <v>1019</v>
      </c>
      <c r="C395" t="str">
        <f t="shared" si="187"/>
        <v>Elizabeth Estrada</v>
      </c>
      <c r="D395" t="s">
        <v>301</v>
      </c>
      <c r="E395" s="3" t="str">
        <f t="shared" si="196"/>
        <v>Female</v>
      </c>
      <c r="F395" s="5">
        <v>31</v>
      </c>
      <c r="G395" t="s">
        <v>33</v>
      </c>
      <c r="H395" t="s">
        <v>34</v>
      </c>
      <c r="I395" t="s">
        <v>286</v>
      </c>
      <c r="J395" s="5">
        <v>10</v>
      </c>
      <c r="K395" s="3" t="str" cm="1">
        <f t="array" ref="K395">_xlfn.IFS(J395&lt;=5, "0-5", J395&lt;=10, "6-10", J395&lt;=15, "11-15", J395&lt;=20, "16-20", J395&gt;20, "21+")</f>
        <v>6-10</v>
      </c>
      <c r="L395">
        <v>50</v>
      </c>
      <c r="M395" s="4">
        <f>L395</f>
        <v>50</v>
      </c>
      <c r="N395" s="4">
        <f t="shared" si="197"/>
        <v>50</v>
      </c>
      <c r="O395" s="5">
        <v>0</v>
      </c>
      <c r="P395" t="s">
        <v>81</v>
      </c>
      <c r="Q395" t="s">
        <v>54</v>
      </c>
      <c r="S395" s="7"/>
    </row>
    <row r="396" spans="1:19" ht="13.5" x14ac:dyDescent="0.25">
      <c r="A396" t="s">
        <v>1020</v>
      </c>
      <c r="B396" t="s">
        <v>1021</v>
      </c>
      <c r="C396" t="str">
        <f t="shared" si="187"/>
        <v>Lori Malone</v>
      </c>
      <c r="D396" t="s">
        <v>37</v>
      </c>
      <c r="E396" s="3" t="str">
        <f t="shared" si="196"/>
        <v>Female</v>
      </c>
      <c r="F396" s="5">
        <v>41</v>
      </c>
      <c r="G396" t="s">
        <v>117</v>
      </c>
      <c r="H396" t="s">
        <v>118</v>
      </c>
      <c r="I396" t="s">
        <v>292</v>
      </c>
      <c r="J396" s="5">
        <v>21</v>
      </c>
      <c r="K396" s="3" t="str" cm="1">
        <f t="array" ref="K396">_xlfn.IFS(J396&lt;=5, "0-5", J396&lt;=10, "6-10", J396&lt;=15, "11-15", J396&lt;=20, "16-20", J396&gt;20, "21+")</f>
        <v>21+</v>
      </c>
      <c r="N396" s="4" t="str">
        <f t="shared" si="197"/>
        <v>NA</v>
      </c>
      <c r="O396" s="5">
        <v>0</v>
      </c>
      <c r="P396" t="s">
        <v>57</v>
      </c>
      <c r="Q396" t="s">
        <v>28</v>
      </c>
      <c r="S396" s="7"/>
    </row>
    <row r="397" spans="1:19" ht="13.5" x14ac:dyDescent="0.25">
      <c r="A397" t="s">
        <v>1022</v>
      </c>
      <c r="B397" t="s">
        <v>1023</v>
      </c>
      <c r="C397" t="str">
        <f t="shared" si="187"/>
        <v>Anthony Huynh MD</v>
      </c>
      <c r="D397" t="s">
        <v>31</v>
      </c>
      <c r="E397" s="3" t="str">
        <f t="shared" si="196"/>
        <v>Male</v>
      </c>
      <c r="F397" s="5">
        <v>31</v>
      </c>
      <c r="G397" t="s">
        <v>95</v>
      </c>
      <c r="H397" t="s">
        <v>96</v>
      </c>
      <c r="I397" t="s">
        <v>288</v>
      </c>
      <c r="J397" s="5">
        <v>0</v>
      </c>
      <c r="K397" s="3" t="str" cm="1">
        <f t="array" ref="K397">_xlfn.IFS(J397&lt;=5, "0-5", J397&lt;=10, "6-10", J397&lt;=15, "11-15", J397&lt;=20, "16-20", J397&gt;20, "21+")</f>
        <v>0-5</v>
      </c>
      <c r="L397" s="2">
        <v>20</v>
      </c>
      <c r="M397" s="4" t="str">
        <f>SUBSTITUTE(L397, "$","")</f>
        <v>20</v>
      </c>
      <c r="N397" s="4">
        <f t="shared" si="197"/>
        <v>20</v>
      </c>
      <c r="O397" s="5">
        <v>4.2</v>
      </c>
      <c r="P397" t="s">
        <v>57</v>
      </c>
      <c r="Q397" t="s">
        <v>28</v>
      </c>
      <c r="R397">
        <v>82</v>
      </c>
      <c r="S397" s="6">
        <f>R397/100</f>
        <v>0.82</v>
      </c>
    </row>
    <row r="398" spans="1:19" ht="13.5" x14ac:dyDescent="0.25">
      <c r="A398" t="s">
        <v>1024</v>
      </c>
      <c r="B398" t="s">
        <v>1025</v>
      </c>
      <c r="C398" t="str">
        <f t="shared" si="187"/>
        <v>Mindy York</v>
      </c>
      <c r="D398" t="s">
        <v>21</v>
      </c>
      <c r="E398" s="3" t="str">
        <f t="shared" si="196"/>
        <v>Female</v>
      </c>
      <c r="F398" s="5">
        <v>58</v>
      </c>
      <c r="G398" t="s">
        <v>23</v>
      </c>
      <c r="H398" t="s">
        <v>24</v>
      </c>
      <c r="I398" t="s">
        <v>291</v>
      </c>
      <c r="J398" s="5">
        <v>0</v>
      </c>
      <c r="K398" s="3" t="str" cm="1">
        <f t="array" ref="K398">_xlfn.IFS(J398&lt;=5, "0-5", J398&lt;=10, "6-10", J398&lt;=15, "11-15", J398&lt;=20, "16-20", J398&gt;20, "21+")</f>
        <v>0-5</v>
      </c>
      <c r="L398">
        <v>50</v>
      </c>
      <c r="M398" s="4">
        <f>L398</f>
        <v>50</v>
      </c>
      <c r="N398" s="4">
        <f t="shared" si="197"/>
        <v>50</v>
      </c>
      <c r="O398" s="5">
        <v>2.2999999999999998</v>
      </c>
      <c r="P398">
        <v>0</v>
      </c>
      <c r="Q398" t="s">
        <v>54</v>
      </c>
      <c r="R398" s="1">
        <v>0.77</v>
      </c>
      <c r="S398" s="6">
        <f t="shared" ref="S398:S405" si="201">R398</f>
        <v>0.77</v>
      </c>
    </row>
    <row r="399" spans="1:19" ht="13.5" x14ac:dyDescent="0.25">
      <c r="A399" t="s">
        <v>1026</v>
      </c>
      <c r="B399" t="s">
        <v>1027</v>
      </c>
      <c r="C399" t="str">
        <f>_xlfn.TEXTAFTER(B399,". ",)</f>
        <v>Christine Cherry</v>
      </c>
      <c r="D399" t="s">
        <v>37</v>
      </c>
      <c r="E399" s="3" t="str">
        <f t="shared" si="196"/>
        <v>Female</v>
      </c>
      <c r="F399" s="5">
        <v>45</v>
      </c>
      <c r="G399" t="s">
        <v>52</v>
      </c>
      <c r="H399" t="s">
        <v>53</v>
      </c>
      <c r="I399" t="s">
        <v>291</v>
      </c>
      <c r="J399" s="5">
        <v>17</v>
      </c>
      <c r="K399" s="3" t="str" cm="1">
        <f t="array" ref="K399">_xlfn.IFS(J399&lt;=5, "0-5", J399&lt;=10, "6-10", J399&lt;=15, "11-15", J399&lt;=20, "16-20", J399&gt;20, "21+")</f>
        <v>16-20</v>
      </c>
      <c r="L399" s="2">
        <v>50</v>
      </c>
      <c r="M399" s="4" t="str">
        <f>SUBSTITUTE(L399, "$","")</f>
        <v>50</v>
      </c>
      <c r="N399" s="4">
        <f t="shared" si="197"/>
        <v>50</v>
      </c>
      <c r="O399" s="5">
        <v>4.7</v>
      </c>
      <c r="P399">
        <v>1</v>
      </c>
      <c r="Q399" t="s">
        <v>28</v>
      </c>
      <c r="R399" s="1">
        <v>0.73</v>
      </c>
      <c r="S399" s="6">
        <f t="shared" si="201"/>
        <v>0.73</v>
      </c>
    </row>
    <row r="400" spans="1:19" ht="13.5" x14ac:dyDescent="0.25">
      <c r="A400" t="s">
        <v>1028</v>
      </c>
      <c r="B400" t="s">
        <v>1029</v>
      </c>
      <c r="C400" t="str">
        <f>B400</f>
        <v>Daniel Foster</v>
      </c>
      <c r="D400" t="s">
        <v>43</v>
      </c>
      <c r="E400" s="3" t="str">
        <f t="shared" si="196"/>
        <v>Male</v>
      </c>
      <c r="F400" s="5">
        <v>51</v>
      </c>
      <c r="G400" t="s">
        <v>62</v>
      </c>
      <c r="H400" t="s">
        <v>63</v>
      </c>
      <c r="I400" t="s">
        <v>288</v>
      </c>
      <c r="J400" s="5">
        <v>5</v>
      </c>
      <c r="K400" s="3" t="str" cm="1">
        <f t="array" ref="K400">_xlfn.IFS(J400&lt;=5, "0-5", J400&lt;=10, "6-10", J400&lt;=15, "11-15", J400&lt;=20, "16-20", J400&gt;20, "21+")</f>
        <v>0-5</v>
      </c>
      <c r="N400" s="4" t="str">
        <f t="shared" si="197"/>
        <v>NA</v>
      </c>
      <c r="O400" s="5">
        <v>3</v>
      </c>
      <c r="P400">
        <v>1</v>
      </c>
      <c r="Q400" t="s">
        <v>28</v>
      </c>
      <c r="R400" s="1">
        <v>0.88</v>
      </c>
      <c r="S400" s="6">
        <f t="shared" si="201"/>
        <v>0.88</v>
      </c>
    </row>
    <row r="401" spans="1:19" ht="13.5" x14ac:dyDescent="0.25">
      <c r="A401" t="s">
        <v>1030</v>
      </c>
      <c r="B401" t="s">
        <v>1031</v>
      </c>
      <c r="C401" t="str">
        <f>_xlfn.TEXTAFTER(B401,". ",)</f>
        <v>David Valencia</v>
      </c>
      <c r="D401" t="s">
        <v>311</v>
      </c>
      <c r="E401" s="3" t="str">
        <f t="shared" si="196"/>
        <v>Male</v>
      </c>
      <c r="F401" s="5">
        <v>54</v>
      </c>
      <c r="G401" t="s">
        <v>183</v>
      </c>
      <c r="H401" t="s">
        <v>39</v>
      </c>
      <c r="I401" t="s">
        <v>286</v>
      </c>
      <c r="J401" s="5">
        <v>3</v>
      </c>
      <c r="K401" s="3" t="str" cm="1">
        <f t="array" ref="K401">_xlfn.IFS(J401&lt;=5, "0-5", J401&lt;=10, "6-10", J401&lt;=15, "11-15", J401&lt;=20, "16-20", J401&gt;20, "21+")</f>
        <v>0-5</v>
      </c>
      <c r="L401" t="s">
        <v>72</v>
      </c>
      <c r="M401" s="4" t="str">
        <f t="shared" ref="M401" si="202">_xlfn.TEXTAFTER(L401, " ")</f>
        <v>30</v>
      </c>
      <c r="N401" s="4">
        <f t="shared" si="197"/>
        <v>30</v>
      </c>
      <c r="O401" s="5">
        <v>2.4</v>
      </c>
      <c r="P401">
        <v>0</v>
      </c>
      <c r="Q401" t="s">
        <v>54</v>
      </c>
      <c r="R401" s="1">
        <v>0.81</v>
      </c>
      <c r="S401" s="6">
        <f t="shared" si="201"/>
        <v>0.81</v>
      </c>
    </row>
    <row r="402" spans="1:19" ht="13.5" x14ac:dyDescent="0.25">
      <c r="A402" t="s">
        <v>1032</v>
      </c>
      <c r="B402" t="s">
        <v>1033</v>
      </c>
      <c r="C402" t="str">
        <f t="shared" ref="C402:C432" si="203">B402</f>
        <v>Ethan Adams</v>
      </c>
      <c r="D402" t="s">
        <v>328</v>
      </c>
      <c r="E402" s="3" t="str">
        <f t="shared" si="196"/>
        <v>Male</v>
      </c>
      <c r="F402" s="5">
        <v>22</v>
      </c>
      <c r="G402" t="s">
        <v>95</v>
      </c>
      <c r="H402" t="s">
        <v>96</v>
      </c>
      <c r="I402" t="s">
        <v>291</v>
      </c>
      <c r="J402" s="5">
        <v>1</v>
      </c>
      <c r="K402" s="3" t="str" cm="1">
        <f t="array" ref="K402">_xlfn.IFS(J402&lt;=5, "0-5", J402&lt;=10, "6-10", J402&lt;=15, "11-15", J402&lt;=20, "16-20", J402&gt;20, "21+")</f>
        <v>0-5</v>
      </c>
      <c r="L402">
        <v>20</v>
      </c>
      <c r="M402" s="4">
        <f t="shared" ref="M402:M403" si="204">L402</f>
        <v>20</v>
      </c>
      <c r="N402" s="4">
        <f t="shared" si="197"/>
        <v>20</v>
      </c>
      <c r="O402" s="5">
        <v>1.7</v>
      </c>
      <c r="P402" t="s">
        <v>64</v>
      </c>
      <c r="Q402" t="s">
        <v>54</v>
      </c>
      <c r="R402" s="1">
        <v>0.78</v>
      </c>
      <c r="S402" s="6">
        <f t="shared" si="201"/>
        <v>0.78</v>
      </c>
    </row>
    <row r="403" spans="1:19" ht="13.5" x14ac:dyDescent="0.25">
      <c r="A403" t="s">
        <v>1034</v>
      </c>
      <c r="B403" t="s">
        <v>1035</v>
      </c>
      <c r="C403" t="str">
        <f t="shared" si="203"/>
        <v>Brett Moore</v>
      </c>
      <c r="D403" t="s">
        <v>328</v>
      </c>
      <c r="E403" s="3" t="str">
        <f t="shared" si="196"/>
        <v>Male</v>
      </c>
      <c r="F403" s="5">
        <v>36</v>
      </c>
      <c r="G403" t="s">
        <v>67</v>
      </c>
      <c r="H403" t="s">
        <v>68</v>
      </c>
      <c r="I403" t="s">
        <v>288</v>
      </c>
      <c r="J403" s="5">
        <v>2</v>
      </c>
      <c r="K403" s="3" t="str" cm="1">
        <f t="array" ref="K403">_xlfn.IFS(J403&lt;=5, "0-5", J403&lt;=10, "6-10", J403&lt;=15, "11-15", J403&lt;=20, "16-20", J403&gt;20, "21+")</f>
        <v>0-5</v>
      </c>
      <c r="L403">
        <v>75</v>
      </c>
      <c r="M403" s="4">
        <f t="shared" si="204"/>
        <v>75</v>
      </c>
      <c r="N403" s="4">
        <f t="shared" si="197"/>
        <v>75</v>
      </c>
      <c r="O403" s="5">
        <v>0</v>
      </c>
      <c r="P403" t="b">
        <v>0</v>
      </c>
      <c r="Q403" t="s">
        <v>54</v>
      </c>
      <c r="R403" s="1">
        <v>0.92</v>
      </c>
      <c r="S403" s="6">
        <f t="shared" si="201"/>
        <v>0.92</v>
      </c>
    </row>
    <row r="404" spans="1:19" ht="13.5" x14ac:dyDescent="0.25">
      <c r="A404" t="s">
        <v>1036</v>
      </c>
      <c r="B404" t="s">
        <v>1037</v>
      </c>
      <c r="C404" t="str">
        <f t="shared" si="203"/>
        <v>Phillip Griffin</v>
      </c>
      <c r="D404" t="s">
        <v>311</v>
      </c>
      <c r="E404" s="3" t="str">
        <f t="shared" si="196"/>
        <v>Male</v>
      </c>
      <c r="F404" s="5">
        <v>50</v>
      </c>
      <c r="G404" t="s">
        <v>33</v>
      </c>
      <c r="H404" t="s">
        <v>34</v>
      </c>
      <c r="I404" t="s">
        <v>283</v>
      </c>
      <c r="J404" s="5">
        <v>32</v>
      </c>
      <c r="K404" s="3" t="str" cm="1">
        <f t="array" ref="K404">_xlfn.IFS(J404&lt;=5, "0-5", J404&lt;=10, "6-10", J404&lt;=15, "11-15", J404&lt;=20, "16-20", J404&gt;20, "21+")</f>
        <v>21+</v>
      </c>
      <c r="L404" s="2">
        <v>30</v>
      </c>
      <c r="M404" s="4" t="str">
        <f>SUBSTITUTE(L404, "$","")</f>
        <v>30</v>
      </c>
      <c r="N404" s="4">
        <f t="shared" si="197"/>
        <v>30</v>
      </c>
      <c r="P404">
        <v>0</v>
      </c>
      <c r="Q404" t="s">
        <v>54</v>
      </c>
      <c r="R404" s="1">
        <v>0.64</v>
      </c>
      <c r="S404" s="6">
        <f t="shared" si="201"/>
        <v>0.64</v>
      </c>
    </row>
    <row r="405" spans="1:19" ht="13.5" x14ac:dyDescent="0.25">
      <c r="A405" t="s">
        <v>1038</v>
      </c>
      <c r="B405" t="s">
        <v>1039</v>
      </c>
      <c r="C405" t="str">
        <f t="shared" si="203"/>
        <v>Stacie Wall</v>
      </c>
      <c r="D405" t="s">
        <v>22</v>
      </c>
      <c r="E405" s="3" t="str">
        <f t="shared" si="196"/>
        <v>Female</v>
      </c>
      <c r="F405" s="5">
        <v>41</v>
      </c>
      <c r="G405" t="s">
        <v>38</v>
      </c>
      <c r="H405" t="s">
        <v>39</v>
      </c>
      <c r="I405" t="s">
        <v>292</v>
      </c>
      <c r="J405" s="5">
        <v>14</v>
      </c>
      <c r="K405" s="3" t="str" cm="1">
        <f t="array" ref="K405">_xlfn.IFS(J405&lt;=5, "0-5", J405&lt;=10, "6-10", J405&lt;=15, "11-15", J405&lt;=20, "16-20", J405&gt;20, "21+")</f>
        <v>11-15</v>
      </c>
      <c r="L405">
        <v>30</v>
      </c>
      <c r="M405" s="4">
        <f t="shared" ref="M405:M406" si="205">L405</f>
        <v>30</v>
      </c>
      <c r="N405" s="4">
        <f t="shared" si="197"/>
        <v>30</v>
      </c>
      <c r="O405" s="5">
        <v>0</v>
      </c>
      <c r="P405" t="s">
        <v>57</v>
      </c>
      <c r="Q405" t="s">
        <v>28</v>
      </c>
      <c r="R405" s="1">
        <v>0.78</v>
      </c>
      <c r="S405" s="6">
        <f t="shared" si="201"/>
        <v>0.78</v>
      </c>
    </row>
    <row r="406" spans="1:19" ht="13.5" x14ac:dyDescent="0.25">
      <c r="A406" t="s">
        <v>1040</v>
      </c>
      <c r="B406" t="s">
        <v>1041</v>
      </c>
      <c r="C406" t="str">
        <f t="shared" si="203"/>
        <v>Jacob Austin</v>
      </c>
      <c r="D406" t="s">
        <v>328</v>
      </c>
      <c r="E406" s="3" t="str">
        <f t="shared" si="196"/>
        <v>Male</v>
      </c>
      <c r="G406" t="s">
        <v>177</v>
      </c>
      <c r="H406" t="s">
        <v>178</v>
      </c>
      <c r="I406" t="s">
        <v>290</v>
      </c>
      <c r="J406" s="5">
        <v>10</v>
      </c>
      <c r="K406" s="3" t="str" cm="1">
        <f t="array" ref="K406">_xlfn.IFS(J406&lt;=5, "0-5", J406&lt;=10, "6-10", J406&lt;=15, "11-15", J406&lt;=20, "16-20", J406&gt;20, "21+")</f>
        <v>6-10</v>
      </c>
      <c r="L406">
        <v>20</v>
      </c>
      <c r="M406" s="4">
        <f t="shared" si="205"/>
        <v>20</v>
      </c>
      <c r="N406" s="4">
        <f t="shared" si="197"/>
        <v>20</v>
      </c>
      <c r="O406" s="5">
        <v>1.8</v>
      </c>
      <c r="P406" t="s">
        <v>27</v>
      </c>
      <c r="Q406" t="s">
        <v>28</v>
      </c>
      <c r="R406">
        <v>85</v>
      </c>
      <c r="S406" s="6">
        <f>R406/100</f>
        <v>0.85</v>
      </c>
    </row>
    <row r="407" spans="1:19" ht="13.5" x14ac:dyDescent="0.25">
      <c r="A407" t="s">
        <v>1042</v>
      </c>
      <c r="B407" t="s">
        <v>1043</v>
      </c>
      <c r="C407" t="str">
        <f t="shared" si="203"/>
        <v>Sabrina Davidson</v>
      </c>
      <c r="D407" t="s">
        <v>21</v>
      </c>
      <c r="E407" s="3" t="str">
        <f t="shared" si="196"/>
        <v>Female</v>
      </c>
      <c r="F407" s="5">
        <v>51</v>
      </c>
      <c r="G407" t="s">
        <v>52</v>
      </c>
      <c r="H407" t="s">
        <v>53</v>
      </c>
      <c r="I407" t="s">
        <v>288</v>
      </c>
      <c r="J407" s="5">
        <v>27</v>
      </c>
      <c r="K407" s="3" t="str" cm="1">
        <f t="array" ref="K407">_xlfn.IFS(J407&lt;=5, "0-5", J407&lt;=10, "6-10", J407&lt;=15, "11-15", J407&lt;=20, "16-20", J407&gt;20, "21+")</f>
        <v>21+</v>
      </c>
      <c r="L407" s="2">
        <v>50</v>
      </c>
      <c r="M407" s="4" t="str">
        <f t="shared" ref="M407:M408" si="206">SUBSTITUTE(L407, "$","")</f>
        <v>50</v>
      </c>
      <c r="N407" s="4">
        <f t="shared" si="197"/>
        <v>50</v>
      </c>
      <c r="O407" s="5">
        <v>0</v>
      </c>
      <c r="P407" t="s">
        <v>81</v>
      </c>
      <c r="Q407" t="s">
        <v>54</v>
      </c>
      <c r="R407" s="1">
        <v>0.78</v>
      </c>
      <c r="S407" s="6">
        <f t="shared" ref="S407:S413" si="207">R407</f>
        <v>0.78</v>
      </c>
    </row>
    <row r="408" spans="1:19" ht="13.5" x14ac:dyDescent="0.25">
      <c r="A408" t="s">
        <v>241</v>
      </c>
      <c r="B408" t="s">
        <v>242</v>
      </c>
      <c r="C408" t="str">
        <f t="shared" si="203"/>
        <v>Dustin Douglas</v>
      </c>
      <c r="D408" t="s">
        <v>31</v>
      </c>
      <c r="E408" s="3" t="str">
        <f t="shared" si="196"/>
        <v>Male</v>
      </c>
      <c r="F408" s="5">
        <v>21</v>
      </c>
      <c r="G408" t="s">
        <v>132</v>
      </c>
      <c r="H408" t="s">
        <v>133</v>
      </c>
      <c r="I408" t="s">
        <v>25</v>
      </c>
      <c r="J408" s="5">
        <v>2</v>
      </c>
      <c r="K408" s="3" t="str" cm="1">
        <f t="array" ref="K408">_xlfn.IFS(J408&lt;=5, "0-5", J408&lt;=10, "6-10", J408&lt;=15, "11-15", J408&lt;=20, "16-20", J408&gt;20, "21+")</f>
        <v>0-5</v>
      </c>
      <c r="L408" s="2">
        <v>30</v>
      </c>
      <c r="M408" s="4" t="str">
        <f t="shared" si="206"/>
        <v>30</v>
      </c>
      <c r="N408" s="4">
        <f t="shared" si="197"/>
        <v>30</v>
      </c>
      <c r="O408" s="5">
        <v>3.8</v>
      </c>
      <c r="P408">
        <v>1</v>
      </c>
      <c r="Q408" t="s">
        <v>28</v>
      </c>
      <c r="R408" s="1">
        <v>0.98</v>
      </c>
      <c r="S408" s="6">
        <f t="shared" si="207"/>
        <v>0.98</v>
      </c>
    </row>
    <row r="409" spans="1:19" ht="13.5" x14ac:dyDescent="0.25">
      <c r="A409" t="s">
        <v>239</v>
      </c>
      <c r="B409" t="s">
        <v>240</v>
      </c>
      <c r="C409" t="str">
        <f t="shared" si="203"/>
        <v>Steven Norris</v>
      </c>
      <c r="D409" t="s">
        <v>311</v>
      </c>
      <c r="E409" s="3" t="str">
        <f t="shared" si="196"/>
        <v>Male</v>
      </c>
      <c r="F409" s="5">
        <v>51</v>
      </c>
      <c r="G409" t="s">
        <v>88</v>
      </c>
      <c r="H409" t="s">
        <v>89</v>
      </c>
      <c r="I409" t="s">
        <v>25</v>
      </c>
      <c r="J409" s="5">
        <v>33</v>
      </c>
      <c r="K409" s="3" t="str" cm="1">
        <f t="array" ref="K409">_xlfn.IFS(J409&lt;=5, "0-5", J409&lt;=10, "6-10", J409&lt;=15, "11-15", J409&lt;=20, "16-20", J409&gt;20, "21+")</f>
        <v>21+</v>
      </c>
      <c r="L409" t="s">
        <v>99</v>
      </c>
      <c r="M409" s="4" t="str">
        <f t="shared" ref="M409:M410" si="208">_xlfn.TEXTAFTER(L409, " ")</f>
        <v>40</v>
      </c>
      <c r="N409" s="4">
        <f t="shared" si="197"/>
        <v>40</v>
      </c>
      <c r="O409" s="5">
        <v>0</v>
      </c>
      <c r="P409" t="s">
        <v>57</v>
      </c>
      <c r="Q409" t="s">
        <v>28</v>
      </c>
      <c r="R409" s="1">
        <v>0.63</v>
      </c>
      <c r="S409" s="6">
        <f t="shared" si="207"/>
        <v>0.63</v>
      </c>
    </row>
    <row r="410" spans="1:19" ht="13.5" x14ac:dyDescent="0.25">
      <c r="A410" t="s">
        <v>1044</v>
      </c>
      <c r="B410" t="s">
        <v>1045</v>
      </c>
      <c r="C410" t="str">
        <f t="shared" si="203"/>
        <v>Mindy Sullivan</v>
      </c>
      <c r="D410" t="s">
        <v>304</v>
      </c>
      <c r="E410" s="3" t="str">
        <f t="shared" si="196"/>
        <v>Female</v>
      </c>
      <c r="F410" s="5">
        <v>37</v>
      </c>
      <c r="G410" t="s">
        <v>104</v>
      </c>
      <c r="H410" t="s">
        <v>105</v>
      </c>
      <c r="I410" t="s">
        <v>287</v>
      </c>
      <c r="J410" s="5">
        <v>11</v>
      </c>
      <c r="K410" s="3" t="str" cm="1">
        <f t="array" ref="K410">_xlfn.IFS(J410&lt;=5, "0-5", J410&lt;=10, "6-10", J410&lt;=15, "11-15", J410&lt;=20, "16-20", J410&gt;20, "21+")</f>
        <v>11-15</v>
      </c>
      <c r="L410" t="s">
        <v>99</v>
      </c>
      <c r="M410" s="4" t="str">
        <f t="shared" si="208"/>
        <v>40</v>
      </c>
      <c r="N410" s="4">
        <f t="shared" si="197"/>
        <v>40</v>
      </c>
      <c r="O410" s="5">
        <v>3.6</v>
      </c>
      <c r="P410" t="s">
        <v>64</v>
      </c>
      <c r="Q410" t="s">
        <v>54</v>
      </c>
      <c r="R410" s="1">
        <v>0.73</v>
      </c>
      <c r="S410" s="6">
        <f t="shared" si="207"/>
        <v>0.73</v>
      </c>
    </row>
    <row r="411" spans="1:19" ht="13.5" x14ac:dyDescent="0.25">
      <c r="A411" t="s">
        <v>1046</v>
      </c>
      <c r="B411" t="s">
        <v>1047</v>
      </c>
      <c r="C411" t="str">
        <f t="shared" si="203"/>
        <v>Elizabeth Stone</v>
      </c>
      <c r="D411" t="s">
        <v>37</v>
      </c>
      <c r="E411" s="3" t="str">
        <f t="shared" si="196"/>
        <v>Female</v>
      </c>
      <c r="F411" s="5">
        <v>20</v>
      </c>
      <c r="G411" t="s">
        <v>84</v>
      </c>
      <c r="H411" t="s">
        <v>24</v>
      </c>
      <c r="I411" t="s">
        <v>287</v>
      </c>
      <c r="J411" s="5">
        <v>2</v>
      </c>
      <c r="K411" s="3" t="str" cm="1">
        <f t="array" ref="K411">_xlfn.IFS(J411&lt;=5, "0-5", J411&lt;=10, "6-10", J411&lt;=15, "11-15", J411&lt;=20, "16-20", J411&gt;20, "21+")</f>
        <v>0-5</v>
      </c>
      <c r="L411">
        <v>30</v>
      </c>
      <c r="M411" s="4">
        <f>L411</f>
        <v>30</v>
      </c>
      <c r="N411" s="4">
        <f t="shared" si="197"/>
        <v>30</v>
      </c>
      <c r="O411" s="5">
        <v>0</v>
      </c>
      <c r="P411">
        <v>0</v>
      </c>
      <c r="Q411" t="s">
        <v>54</v>
      </c>
      <c r="R411" s="1">
        <v>0.94</v>
      </c>
      <c r="S411" s="6">
        <f t="shared" si="207"/>
        <v>0.94</v>
      </c>
    </row>
    <row r="412" spans="1:19" ht="13.5" x14ac:dyDescent="0.25">
      <c r="A412" t="s">
        <v>1048</v>
      </c>
      <c r="B412" t="s">
        <v>1049</v>
      </c>
      <c r="C412" t="str">
        <f t="shared" si="203"/>
        <v>Diane Flores</v>
      </c>
      <c r="D412" t="s">
        <v>22</v>
      </c>
      <c r="E412" s="3" t="str">
        <f t="shared" si="196"/>
        <v>Female</v>
      </c>
      <c r="F412" s="5">
        <v>50</v>
      </c>
      <c r="G412" t="s">
        <v>38</v>
      </c>
      <c r="H412" t="s">
        <v>39</v>
      </c>
      <c r="I412" t="s">
        <v>290</v>
      </c>
      <c r="J412" s="5">
        <v>31</v>
      </c>
      <c r="K412" s="3" t="str" cm="1">
        <f t="array" ref="K412">_xlfn.IFS(J412&lt;=5, "0-5", J412&lt;=10, "6-10", J412&lt;=15, "11-15", J412&lt;=20, "16-20", J412&gt;20, "21+")</f>
        <v>21+</v>
      </c>
      <c r="L412" s="2">
        <v>50</v>
      </c>
      <c r="M412" s="4" t="str">
        <f t="shared" ref="M412:M414" si="209">SUBSTITUTE(L412, "$","")</f>
        <v>50</v>
      </c>
      <c r="N412" s="4">
        <f t="shared" si="197"/>
        <v>50</v>
      </c>
      <c r="O412" s="5">
        <v>4.0999999999999996</v>
      </c>
      <c r="R412" s="1">
        <v>0.81</v>
      </c>
      <c r="S412" s="6">
        <f t="shared" si="207"/>
        <v>0.81</v>
      </c>
    </row>
    <row r="413" spans="1:19" ht="13.5" x14ac:dyDescent="0.25">
      <c r="A413" t="s">
        <v>1050</v>
      </c>
      <c r="B413" t="s">
        <v>1051</v>
      </c>
      <c r="C413" t="str">
        <f t="shared" si="203"/>
        <v>Jessica Erickson</v>
      </c>
      <c r="D413" t="s">
        <v>21</v>
      </c>
      <c r="E413" s="3" t="str">
        <f t="shared" si="196"/>
        <v>Female</v>
      </c>
      <c r="F413" s="5">
        <v>58</v>
      </c>
      <c r="G413" t="s">
        <v>67</v>
      </c>
      <c r="H413" t="s">
        <v>68</v>
      </c>
      <c r="I413" t="s">
        <v>287</v>
      </c>
      <c r="J413" s="5">
        <v>17</v>
      </c>
      <c r="K413" s="3" t="str" cm="1">
        <f t="array" ref="K413">_xlfn.IFS(J413&lt;=5, "0-5", J413&lt;=10, "6-10", J413&lt;=15, "11-15", J413&lt;=20, "16-20", J413&gt;20, "21+")</f>
        <v>16-20</v>
      </c>
      <c r="L413" s="2">
        <v>50</v>
      </c>
      <c r="M413" s="4" t="str">
        <f t="shared" si="209"/>
        <v>50</v>
      </c>
      <c r="N413" s="4">
        <f t="shared" si="197"/>
        <v>50</v>
      </c>
      <c r="O413" s="5">
        <v>2.6</v>
      </c>
      <c r="P413">
        <v>1</v>
      </c>
      <c r="Q413" t="s">
        <v>28</v>
      </c>
      <c r="R413" s="1">
        <v>0.61</v>
      </c>
      <c r="S413" s="6">
        <f t="shared" si="207"/>
        <v>0.61</v>
      </c>
    </row>
    <row r="414" spans="1:19" ht="13.5" x14ac:dyDescent="0.25">
      <c r="A414" t="s">
        <v>1052</v>
      </c>
      <c r="B414" t="s">
        <v>1053</v>
      </c>
      <c r="C414" t="str">
        <f t="shared" si="203"/>
        <v>Sara Moses</v>
      </c>
      <c r="D414" t="s">
        <v>21</v>
      </c>
      <c r="E414" s="3" t="str">
        <f t="shared" si="196"/>
        <v>Female</v>
      </c>
      <c r="F414" s="5">
        <v>40</v>
      </c>
      <c r="G414" t="s">
        <v>47</v>
      </c>
      <c r="H414" t="s">
        <v>48</v>
      </c>
      <c r="I414" t="s">
        <v>286</v>
      </c>
      <c r="J414" s="5">
        <v>2</v>
      </c>
      <c r="K414" s="3" t="str" cm="1">
        <f t="array" ref="K414">_xlfn.IFS(J414&lt;=5, "0-5", J414&lt;=10, "6-10", J414&lt;=15, "11-15", J414&lt;=20, "16-20", J414&gt;20, "21+")</f>
        <v>0-5</v>
      </c>
      <c r="L414" s="2">
        <v>100</v>
      </c>
      <c r="M414" s="4" t="str">
        <f t="shared" si="209"/>
        <v>100</v>
      </c>
      <c r="N414" s="4">
        <f t="shared" si="197"/>
        <v>100</v>
      </c>
      <c r="O414" s="5">
        <v>0</v>
      </c>
      <c r="P414">
        <v>0</v>
      </c>
      <c r="Q414" t="s">
        <v>54</v>
      </c>
      <c r="S414" s="7"/>
    </row>
    <row r="415" spans="1:19" ht="13.5" x14ac:dyDescent="0.25">
      <c r="A415" t="s">
        <v>1054</v>
      </c>
      <c r="B415" t="s">
        <v>1055</v>
      </c>
      <c r="C415" t="str">
        <f t="shared" si="203"/>
        <v>Allison Henderson</v>
      </c>
      <c r="D415" t="s">
        <v>301</v>
      </c>
      <c r="E415" s="3" t="str">
        <f t="shared" si="196"/>
        <v>Female</v>
      </c>
      <c r="F415" s="5">
        <v>26</v>
      </c>
      <c r="G415" t="s">
        <v>117</v>
      </c>
      <c r="H415" t="s">
        <v>118</v>
      </c>
      <c r="I415" t="s">
        <v>290</v>
      </c>
      <c r="J415" s="5">
        <v>2</v>
      </c>
      <c r="K415" s="3" t="str" cm="1">
        <f t="array" ref="K415">_xlfn.IFS(J415&lt;=5, "0-5", J415&lt;=10, "6-10", J415&lt;=15, "11-15", J415&lt;=20, "16-20", J415&gt;20, "21+")</f>
        <v>0-5</v>
      </c>
      <c r="L415">
        <v>20</v>
      </c>
      <c r="M415" s="4">
        <f t="shared" ref="M415:M416" si="210">L415</f>
        <v>20</v>
      </c>
      <c r="N415" s="4">
        <f t="shared" si="197"/>
        <v>20</v>
      </c>
      <c r="O415" s="5">
        <v>1.3</v>
      </c>
      <c r="P415" t="s">
        <v>81</v>
      </c>
      <c r="Q415" t="s">
        <v>54</v>
      </c>
      <c r="R415" s="1">
        <v>0.83</v>
      </c>
      <c r="S415" s="6">
        <f>R415</f>
        <v>0.83</v>
      </c>
    </row>
    <row r="416" spans="1:19" ht="13.5" x14ac:dyDescent="0.25">
      <c r="A416" t="s">
        <v>1056</v>
      </c>
      <c r="B416" t="s">
        <v>1057</v>
      </c>
      <c r="C416" t="str">
        <f t="shared" si="203"/>
        <v>Susan Dixon</v>
      </c>
      <c r="D416" t="s">
        <v>21</v>
      </c>
      <c r="E416" s="3" t="str">
        <f t="shared" si="196"/>
        <v>Female</v>
      </c>
      <c r="F416" s="5">
        <v>44</v>
      </c>
      <c r="G416" t="s">
        <v>62</v>
      </c>
      <c r="H416" t="s">
        <v>63</v>
      </c>
      <c r="I416" t="s">
        <v>288</v>
      </c>
      <c r="J416" s="5">
        <v>22</v>
      </c>
      <c r="K416" s="3" t="str" cm="1">
        <f t="array" ref="K416">_xlfn.IFS(J416&lt;=5, "0-5", J416&lt;=10, "6-10", J416&lt;=15, "11-15", J416&lt;=20, "16-20", J416&gt;20, "21+")</f>
        <v>21+</v>
      </c>
      <c r="L416">
        <v>30</v>
      </c>
      <c r="M416" s="4">
        <f t="shared" si="210"/>
        <v>30</v>
      </c>
      <c r="N416" s="4">
        <f t="shared" si="197"/>
        <v>30</v>
      </c>
      <c r="O416" s="5">
        <v>4.0999999999999996</v>
      </c>
      <c r="P416" t="s">
        <v>57</v>
      </c>
      <c r="Q416" t="s">
        <v>28</v>
      </c>
      <c r="S416" s="7"/>
    </row>
    <row r="417" spans="1:19" ht="13.5" x14ac:dyDescent="0.25">
      <c r="A417" t="s">
        <v>1058</v>
      </c>
      <c r="B417" t="s">
        <v>1059</v>
      </c>
      <c r="C417" t="str">
        <f t="shared" si="203"/>
        <v>David Morrison</v>
      </c>
      <c r="D417" t="s">
        <v>31</v>
      </c>
      <c r="E417" s="3" t="str">
        <f t="shared" si="196"/>
        <v>Male</v>
      </c>
      <c r="F417" s="5">
        <v>42</v>
      </c>
      <c r="G417" t="s">
        <v>44</v>
      </c>
      <c r="H417" t="s">
        <v>24</v>
      </c>
      <c r="I417" t="s">
        <v>284</v>
      </c>
      <c r="J417" s="5">
        <v>8</v>
      </c>
      <c r="K417" s="3" t="str" cm="1">
        <f t="array" ref="K417">_xlfn.IFS(J417&lt;=5, "0-5", J417&lt;=10, "6-10", J417&lt;=15, "11-15", J417&lt;=20, "16-20", J417&gt;20, "21+")</f>
        <v>6-10</v>
      </c>
      <c r="L417" s="2">
        <v>50</v>
      </c>
      <c r="M417" s="4" t="str">
        <f t="shared" ref="M417:M418" si="211">SUBSTITUTE(L417, "$","")</f>
        <v>50</v>
      </c>
      <c r="N417" s="4">
        <f t="shared" si="197"/>
        <v>50</v>
      </c>
      <c r="O417" s="5">
        <v>2.4</v>
      </c>
      <c r="P417" t="s">
        <v>81</v>
      </c>
      <c r="Q417" t="s">
        <v>54</v>
      </c>
      <c r="R417" s="1">
        <v>0.68</v>
      </c>
      <c r="S417" s="6">
        <f t="shared" ref="S417:S418" si="212">R417</f>
        <v>0.68</v>
      </c>
    </row>
    <row r="418" spans="1:19" ht="13.5" x14ac:dyDescent="0.25">
      <c r="A418" t="s">
        <v>1060</v>
      </c>
      <c r="B418" t="s">
        <v>510</v>
      </c>
      <c r="C418" t="str">
        <f t="shared" si="203"/>
        <v>Jason Carter</v>
      </c>
      <c r="D418" t="s">
        <v>328</v>
      </c>
      <c r="E418" s="3" t="str">
        <f t="shared" si="196"/>
        <v>Male</v>
      </c>
      <c r="F418" s="5">
        <v>38</v>
      </c>
      <c r="G418" t="s">
        <v>44</v>
      </c>
      <c r="H418" t="s">
        <v>24</v>
      </c>
      <c r="I418" t="s">
        <v>291</v>
      </c>
      <c r="J418" s="5">
        <v>9</v>
      </c>
      <c r="K418" s="3" t="str" cm="1">
        <f t="array" ref="K418">_xlfn.IFS(J418&lt;=5, "0-5", J418&lt;=10, "6-10", J418&lt;=15, "11-15", J418&lt;=20, "16-20", J418&gt;20, "21+")</f>
        <v>6-10</v>
      </c>
      <c r="L418" s="2">
        <v>50</v>
      </c>
      <c r="M418" s="4" t="str">
        <f t="shared" si="211"/>
        <v>50</v>
      </c>
      <c r="N418" s="4">
        <f t="shared" si="197"/>
        <v>50</v>
      </c>
      <c r="O418" s="5">
        <v>0</v>
      </c>
      <c r="P418">
        <v>0</v>
      </c>
      <c r="Q418" t="s">
        <v>54</v>
      </c>
      <c r="R418" s="1">
        <v>0.74</v>
      </c>
      <c r="S418" s="6">
        <f t="shared" si="212"/>
        <v>0.74</v>
      </c>
    </row>
    <row r="419" spans="1:19" ht="13.5" x14ac:dyDescent="0.25">
      <c r="A419" t="s">
        <v>1061</v>
      </c>
      <c r="B419" t="s">
        <v>1062</v>
      </c>
      <c r="C419" t="str">
        <f t="shared" si="203"/>
        <v>James Jacobs</v>
      </c>
      <c r="D419" t="s">
        <v>31</v>
      </c>
      <c r="E419" s="3" t="str">
        <f t="shared" si="196"/>
        <v>Male</v>
      </c>
      <c r="F419" s="5">
        <v>51</v>
      </c>
      <c r="G419" t="s">
        <v>117</v>
      </c>
      <c r="H419" t="s">
        <v>118</v>
      </c>
      <c r="I419" t="s">
        <v>290</v>
      </c>
      <c r="J419" s="5">
        <v>32</v>
      </c>
      <c r="K419" s="3" t="str" cm="1">
        <f t="array" ref="K419">_xlfn.IFS(J419&lt;=5, "0-5", J419&lt;=10, "6-10", J419&lt;=15, "11-15", J419&lt;=20, "16-20", J419&gt;20, "21+")</f>
        <v>21+</v>
      </c>
      <c r="L419">
        <v>100</v>
      </c>
      <c r="M419" s="4">
        <f>L419</f>
        <v>100</v>
      </c>
      <c r="N419" s="4">
        <f t="shared" si="197"/>
        <v>100</v>
      </c>
      <c r="O419" s="5">
        <v>4.4000000000000004</v>
      </c>
      <c r="P419" t="b">
        <v>0</v>
      </c>
      <c r="Q419" t="s">
        <v>54</v>
      </c>
      <c r="R419">
        <v>91</v>
      </c>
      <c r="S419" s="6">
        <f>R419/100</f>
        <v>0.91</v>
      </c>
    </row>
    <row r="420" spans="1:19" ht="13.5" x14ac:dyDescent="0.25">
      <c r="A420" t="s">
        <v>237</v>
      </c>
      <c r="B420" t="s">
        <v>238</v>
      </c>
      <c r="C420" t="str">
        <f t="shared" si="203"/>
        <v>Kathleen Quinn</v>
      </c>
      <c r="D420" t="s">
        <v>304</v>
      </c>
      <c r="E420" s="3" t="str">
        <f t="shared" si="196"/>
        <v>Female</v>
      </c>
      <c r="F420" s="5">
        <v>36</v>
      </c>
      <c r="G420" t="s">
        <v>132</v>
      </c>
      <c r="H420" t="s">
        <v>133</v>
      </c>
      <c r="I420" t="s">
        <v>25</v>
      </c>
      <c r="J420" s="5">
        <v>8</v>
      </c>
      <c r="K420" s="3" t="str" cm="1">
        <f t="array" ref="K420">_xlfn.IFS(J420&lt;=5, "0-5", J420&lt;=10, "6-10", J420&lt;=15, "11-15", J420&lt;=20, "16-20", J420&gt;20, "21+")</f>
        <v>6-10</v>
      </c>
      <c r="L420" t="s">
        <v>40</v>
      </c>
      <c r="M420" s="4" t="str">
        <f t="shared" ref="M420" si="213">_xlfn.TEXTAFTER(L420, " ")</f>
        <v>100</v>
      </c>
      <c r="N420" s="4">
        <f t="shared" si="197"/>
        <v>100</v>
      </c>
      <c r="O420" s="5">
        <v>2.2000000000000002</v>
      </c>
      <c r="P420">
        <v>1</v>
      </c>
      <c r="Q420" t="s">
        <v>28</v>
      </c>
      <c r="R420" s="1">
        <v>0.97</v>
      </c>
      <c r="S420" s="6">
        <f t="shared" ref="S420:S424" si="214">R420</f>
        <v>0.97</v>
      </c>
    </row>
    <row r="421" spans="1:19" ht="13.5" x14ac:dyDescent="0.25">
      <c r="A421" t="s">
        <v>1063</v>
      </c>
      <c r="B421" t="s">
        <v>1064</v>
      </c>
      <c r="C421" t="str">
        <f t="shared" si="203"/>
        <v>Natalie Frank MD</v>
      </c>
      <c r="D421" t="s">
        <v>21</v>
      </c>
      <c r="E421" s="3" t="str">
        <f t="shared" si="196"/>
        <v>Female</v>
      </c>
      <c r="F421" s="5">
        <v>37</v>
      </c>
      <c r="G421" t="s">
        <v>38</v>
      </c>
      <c r="H421" t="s">
        <v>39</v>
      </c>
      <c r="I421" t="s">
        <v>285</v>
      </c>
      <c r="J421" s="5">
        <v>10</v>
      </c>
      <c r="K421" s="3" t="str" cm="1">
        <f t="array" ref="K421">_xlfn.IFS(J421&lt;=5, "0-5", J421&lt;=10, "6-10", J421&lt;=15, "11-15", J421&lt;=20, "16-20", J421&gt;20, "21+")</f>
        <v>6-10</v>
      </c>
      <c r="L421">
        <v>30</v>
      </c>
      <c r="M421" s="4">
        <f t="shared" ref="M421:M422" si="215">L421</f>
        <v>30</v>
      </c>
      <c r="N421" s="4">
        <f t="shared" si="197"/>
        <v>30</v>
      </c>
      <c r="O421" s="5">
        <v>0</v>
      </c>
      <c r="P421">
        <v>0</v>
      </c>
      <c r="Q421" t="s">
        <v>54</v>
      </c>
      <c r="R421" s="1">
        <v>0.96</v>
      </c>
      <c r="S421" s="6">
        <f t="shared" si="214"/>
        <v>0.96</v>
      </c>
    </row>
    <row r="422" spans="1:19" ht="13.5" x14ac:dyDescent="0.25">
      <c r="A422" t="s">
        <v>1065</v>
      </c>
      <c r="B422" t="s">
        <v>1066</v>
      </c>
      <c r="C422" t="str">
        <f t="shared" si="203"/>
        <v>Michael Reed</v>
      </c>
      <c r="D422" t="s">
        <v>31</v>
      </c>
      <c r="E422" s="3" t="str">
        <f t="shared" si="196"/>
        <v>Male</v>
      </c>
      <c r="F422" s="5">
        <v>31</v>
      </c>
      <c r="G422" t="s">
        <v>177</v>
      </c>
      <c r="H422" t="s">
        <v>178</v>
      </c>
      <c r="I422" t="s">
        <v>283</v>
      </c>
      <c r="J422" s="5">
        <v>0</v>
      </c>
      <c r="K422" s="3" t="str" cm="1">
        <f t="array" ref="K422">_xlfn.IFS(J422&lt;=5, "0-5", J422&lt;=10, "6-10", J422&lt;=15, "11-15", J422&lt;=20, "16-20", J422&gt;20, "21+")</f>
        <v>0-5</v>
      </c>
      <c r="L422">
        <v>50</v>
      </c>
      <c r="M422" s="4">
        <f t="shared" si="215"/>
        <v>50</v>
      </c>
      <c r="N422" s="4">
        <f t="shared" si="197"/>
        <v>50</v>
      </c>
      <c r="O422" s="5">
        <v>1.1000000000000001</v>
      </c>
      <c r="P422" t="s">
        <v>57</v>
      </c>
      <c r="Q422" t="s">
        <v>28</v>
      </c>
      <c r="R422" s="1">
        <v>0.73</v>
      </c>
      <c r="S422" s="6">
        <f t="shared" si="214"/>
        <v>0.73</v>
      </c>
    </row>
    <row r="423" spans="1:19" ht="13.5" x14ac:dyDescent="0.25">
      <c r="A423" t="s">
        <v>1067</v>
      </c>
      <c r="B423" t="s">
        <v>1068</v>
      </c>
      <c r="C423" t="str">
        <f t="shared" si="203"/>
        <v>Sheila Smith</v>
      </c>
      <c r="D423" t="s">
        <v>37</v>
      </c>
      <c r="E423" s="3" t="str">
        <f t="shared" si="196"/>
        <v>Female</v>
      </c>
      <c r="F423" s="5">
        <v>47</v>
      </c>
      <c r="G423" t="s">
        <v>146</v>
      </c>
      <c r="H423" t="s">
        <v>147</v>
      </c>
      <c r="I423" t="s">
        <v>288</v>
      </c>
      <c r="J423" s="5">
        <v>22</v>
      </c>
      <c r="K423" s="3" t="str" cm="1">
        <f t="array" ref="K423">_xlfn.IFS(J423&lt;=5, "0-5", J423&lt;=10, "6-10", J423&lt;=15, "11-15", J423&lt;=20, "16-20", J423&gt;20, "21+")</f>
        <v>21+</v>
      </c>
      <c r="N423" s="4" t="str">
        <f t="shared" si="197"/>
        <v>NA</v>
      </c>
      <c r="O423" s="5">
        <v>1.4</v>
      </c>
      <c r="P423" t="s">
        <v>27</v>
      </c>
      <c r="Q423" t="s">
        <v>28</v>
      </c>
      <c r="R423" s="1">
        <v>0.72</v>
      </c>
      <c r="S423" s="6">
        <f t="shared" si="214"/>
        <v>0.72</v>
      </c>
    </row>
    <row r="424" spans="1:19" ht="13.5" x14ac:dyDescent="0.25">
      <c r="A424" t="s">
        <v>1069</v>
      </c>
      <c r="B424" t="s">
        <v>1070</v>
      </c>
      <c r="C424" t="str">
        <f t="shared" si="203"/>
        <v>Morgan Ford</v>
      </c>
      <c r="D424" t="s">
        <v>304</v>
      </c>
      <c r="E424" s="3" t="str">
        <f t="shared" si="196"/>
        <v>Female</v>
      </c>
      <c r="F424" s="5">
        <v>60</v>
      </c>
      <c r="G424" t="s">
        <v>44</v>
      </c>
      <c r="H424" t="s">
        <v>24</v>
      </c>
      <c r="I424" t="s">
        <v>286</v>
      </c>
      <c r="J424" s="5">
        <v>34</v>
      </c>
      <c r="K424" s="3" t="str" cm="1">
        <f t="array" ref="K424">_xlfn.IFS(J424&lt;=5, "0-5", J424&lt;=10, "6-10", J424&lt;=15, "11-15", J424&lt;=20, "16-20", J424&gt;20, "21+")</f>
        <v>21+</v>
      </c>
      <c r="L424" s="2">
        <v>100</v>
      </c>
      <c r="M424" s="4" t="str">
        <f>SUBSTITUTE(L424, "$","")</f>
        <v>100</v>
      </c>
      <c r="N424" s="4">
        <f t="shared" si="197"/>
        <v>100</v>
      </c>
      <c r="O424" s="5">
        <v>0</v>
      </c>
      <c r="P424" t="b">
        <v>1</v>
      </c>
      <c r="Q424" t="s">
        <v>28</v>
      </c>
      <c r="R424" s="1">
        <v>0.74</v>
      </c>
      <c r="S424" s="6">
        <f t="shared" si="214"/>
        <v>0.74</v>
      </c>
    </row>
    <row r="425" spans="1:19" ht="13.5" x14ac:dyDescent="0.25">
      <c r="A425" t="s">
        <v>1071</v>
      </c>
      <c r="B425" t="s">
        <v>1072</v>
      </c>
      <c r="C425" t="str">
        <f t="shared" si="203"/>
        <v>Linda Schultz</v>
      </c>
      <c r="D425" t="s">
        <v>21</v>
      </c>
      <c r="E425" s="3" t="str">
        <f t="shared" si="196"/>
        <v>Female</v>
      </c>
      <c r="F425" s="5">
        <v>48</v>
      </c>
      <c r="G425" t="s">
        <v>23</v>
      </c>
      <c r="H425" t="s">
        <v>24</v>
      </c>
      <c r="I425" t="s">
        <v>285</v>
      </c>
      <c r="J425" s="5">
        <v>5</v>
      </c>
      <c r="K425" s="3" t="str" cm="1">
        <f t="array" ref="K425">_xlfn.IFS(J425&lt;=5, "0-5", J425&lt;=10, "6-10", J425&lt;=15, "11-15", J425&lt;=20, "16-20", J425&gt;20, "21+")</f>
        <v>0-5</v>
      </c>
      <c r="L425">
        <v>30</v>
      </c>
      <c r="M425" s="4">
        <f t="shared" ref="M425:M428" si="216">L425</f>
        <v>30</v>
      </c>
      <c r="N425" s="4">
        <f t="shared" si="197"/>
        <v>30</v>
      </c>
      <c r="O425" s="5">
        <v>1.5</v>
      </c>
      <c r="P425" t="s">
        <v>64</v>
      </c>
      <c r="Q425" t="s">
        <v>54</v>
      </c>
      <c r="S425" s="7"/>
    </row>
    <row r="426" spans="1:19" ht="13.5" x14ac:dyDescent="0.25">
      <c r="A426" t="s">
        <v>235</v>
      </c>
      <c r="B426" t="s">
        <v>236</v>
      </c>
      <c r="C426" t="str">
        <f t="shared" si="203"/>
        <v>Regina Daniel</v>
      </c>
      <c r="D426" t="s">
        <v>301</v>
      </c>
      <c r="E426" s="3" t="str">
        <f t="shared" si="196"/>
        <v>Female</v>
      </c>
      <c r="F426" s="5">
        <v>24</v>
      </c>
      <c r="G426" t="s">
        <v>146</v>
      </c>
      <c r="H426" t="s">
        <v>147</v>
      </c>
      <c r="I426" t="s">
        <v>25</v>
      </c>
      <c r="J426" s="5">
        <v>3</v>
      </c>
      <c r="K426" s="3" t="str" cm="1">
        <f t="array" ref="K426">_xlfn.IFS(J426&lt;=5, "0-5", J426&lt;=10, "6-10", J426&lt;=15, "11-15", J426&lt;=20, "16-20", J426&gt;20, "21+")</f>
        <v>0-5</v>
      </c>
      <c r="L426">
        <v>20</v>
      </c>
      <c r="M426" s="4">
        <f t="shared" si="216"/>
        <v>20</v>
      </c>
      <c r="N426" s="4">
        <f t="shared" si="197"/>
        <v>20</v>
      </c>
      <c r="O426" s="5">
        <v>0</v>
      </c>
      <c r="P426">
        <v>1</v>
      </c>
      <c r="Q426" t="s">
        <v>28</v>
      </c>
      <c r="S426" s="7"/>
    </row>
    <row r="427" spans="1:19" ht="13.5" x14ac:dyDescent="0.25">
      <c r="A427" t="s">
        <v>1073</v>
      </c>
      <c r="B427" t="s">
        <v>1074</v>
      </c>
      <c r="C427" t="str">
        <f t="shared" si="203"/>
        <v>Allison Perkins</v>
      </c>
      <c r="D427" t="s">
        <v>21</v>
      </c>
      <c r="E427" s="3" t="str">
        <f t="shared" si="196"/>
        <v>Female</v>
      </c>
      <c r="F427" s="5">
        <v>35</v>
      </c>
      <c r="G427" t="s">
        <v>52</v>
      </c>
      <c r="H427" t="s">
        <v>53</v>
      </c>
      <c r="I427" t="s">
        <v>284</v>
      </c>
      <c r="J427" s="5">
        <v>10</v>
      </c>
      <c r="K427" s="3" t="str" cm="1">
        <f t="array" ref="K427">_xlfn.IFS(J427&lt;=5, "0-5", J427&lt;=10, "6-10", J427&lt;=15, "11-15", J427&lt;=20, "16-20", J427&gt;20, "21+")</f>
        <v>6-10</v>
      </c>
      <c r="L427">
        <v>75</v>
      </c>
      <c r="M427" s="4">
        <f t="shared" si="216"/>
        <v>75</v>
      </c>
      <c r="N427" s="4">
        <f t="shared" si="197"/>
        <v>75</v>
      </c>
      <c r="O427" s="5">
        <v>0</v>
      </c>
      <c r="R427" s="1">
        <v>0.74</v>
      </c>
      <c r="S427" s="6">
        <f t="shared" ref="S427:S432" si="217">R427</f>
        <v>0.74</v>
      </c>
    </row>
    <row r="428" spans="1:19" ht="13.5" x14ac:dyDescent="0.25">
      <c r="A428" t="s">
        <v>1075</v>
      </c>
      <c r="B428" t="s">
        <v>1076</v>
      </c>
      <c r="C428" t="str">
        <f t="shared" si="203"/>
        <v>Bradley Weaver</v>
      </c>
      <c r="D428" t="s">
        <v>311</v>
      </c>
      <c r="E428" s="3" t="str">
        <f t="shared" si="196"/>
        <v>Male</v>
      </c>
      <c r="F428" s="5">
        <v>35</v>
      </c>
      <c r="G428" t="s">
        <v>183</v>
      </c>
      <c r="H428" t="s">
        <v>39</v>
      </c>
      <c r="I428" t="s">
        <v>283</v>
      </c>
      <c r="K428" s="3" t="str" cm="1">
        <f t="array" ref="K428">_xlfn.IFS(J428&lt;=5, "0-5", J428&lt;=10, "6-10", J428&lt;=15, "11-15", J428&lt;=20, "16-20", J428&gt;20, "21+")</f>
        <v>0-5</v>
      </c>
      <c r="L428">
        <v>100</v>
      </c>
      <c r="M428" s="4">
        <f t="shared" si="216"/>
        <v>100</v>
      </c>
      <c r="N428" s="4">
        <f t="shared" si="197"/>
        <v>100</v>
      </c>
      <c r="O428" s="5">
        <v>3.5</v>
      </c>
      <c r="P428" t="s">
        <v>57</v>
      </c>
      <c r="Q428" t="s">
        <v>28</v>
      </c>
      <c r="R428" s="1">
        <v>0.71</v>
      </c>
      <c r="S428" s="6">
        <f t="shared" si="217"/>
        <v>0.71</v>
      </c>
    </row>
    <row r="429" spans="1:19" ht="13.5" x14ac:dyDescent="0.25">
      <c r="A429" t="s">
        <v>1077</v>
      </c>
      <c r="B429" t="s">
        <v>1078</v>
      </c>
      <c r="C429" t="str">
        <f t="shared" si="203"/>
        <v>Sarah Hall</v>
      </c>
      <c r="D429" t="s">
        <v>22</v>
      </c>
      <c r="E429" s="3" t="str">
        <f t="shared" si="196"/>
        <v>Female</v>
      </c>
      <c r="F429" s="5">
        <v>29</v>
      </c>
      <c r="G429" t="s">
        <v>52</v>
      </c>
      <c r="H429" t="s">
        <v>53</v>
      </c>
      <c r="I429" t="s">
        <v>286</v>
      </c>
      <c r="J429" s="5">
        <v>6</v>
      </c>
      <c r="K429" s="3" t="str" cm="1">
        <f t="array" ref="K429">_xlfn.IFS(J429&lt;=5, "0-5", J429&lt;=10, "6-10", J429&lt;=15, "11-15", J429&lt;=20, "16-20", J429&gt;20, "21+")</f>
        <v>6-10</v>
      </c>
      <c r="N429" s="4" t="str">
        <f t="shared" si="197"/>
        <v>NA</v>
      </c>
      <c r="O429" s="5">
        <v>4.8</v>
      </c>
      <c r="P429" t="s">
        <v>64</v>
      </c>
      <c r="Q429" t="s">
        <v>54</v>
      </c>
      <c r="R429" s="1">
        <v>0.83</v>
      </c>
      <c r="S429" s="6">
        <f t="shared" si="217"/>
        <v>0.83</v>
      </c>
    </row>
    <row r="430" spans="1:19" ht="13.5" x14ac:dyDescent="0.25">
      <c r="A430" t="s">
        <v>1079</v>
      </c>
      <c r="B430" t="s">
        <v>1080</v>
      </c>
      <c r="C430" t="str">
        <f t="shared" si="203"/>
        <v>Diana Walton</v>
      </c>
      <c r="D430" t="s">
        <v>22</v>
      </c>
      <c r="E430" s="3" t="str">
        <f t="shared" si="196"/>
        <v>Female</v>
      </c>
      <c r="F430" s="5">
        <v>36</v>
      </c>
      <c r="G430" t="s">
        <v>253</v>
      </c>
      <c r="H430" t="s">
        <v>254</v>
      </c>
      <c r="I430" t="s">
        <v>284</v>
      </c>
      <c r="J430" s="5">
        <v>1</v>
      </c>
      <c r="K430" s="3" t="str" cm="1">
        <f t="array" ref="K430">_xlfn.IFS(J430&lt;=5, "0-5", J430&lt;=10, "6-10", J430&lt;=15, "11-15", J430&lt;=20, "16-20", J430&gt;20, "21+")</f>
        <v>0-5</v>
      </c>
      <c r="L430" s="2">
        <v>75</v>
      </c>
      <c r="M430" s="4" t="str">
        <f>SUBSTITUTE(L430, "$","")</f>
        <v>75</v>
      </c>
      <c r="N430" s="4">
        <f t="shared" si="197"/>
        <v>75</v>
      </c>
      <c r="R430" s="1">
        <v>0.63</v>
      </c>
      <c r="S430" s="6">
        <f t="shared" si="217"/>
        <v>0.63</v>
      </c>
    </row>
    <row r="431" spans="1:19" ht="13.5" x14ac:dyDescent="0.25">
      <c r="A431" t="s">
        <v>233</v>
      </c>
      <c r="B431" t="s">
        <v>234</v>
      </c>
      <c r="C431" t="str">
        <f t="shared" si="203"/>
        <v>Donna Davis</v>
      </c>
      <c r="D431" t="s">
        <v>21</v>
      </c>
      <c r="E431" s="3" t="str">
        <f t="shared" si="196"/>
        <v>Female</v>
      </c>
      <c r="F431" s="5">
        <v>44</v>
      </c>
      <c r="G431" t="s">
        <v>125</v>
      </c>
      <c r="H431" t="s">
        <v>39</v>
      </c>
      <c r="I431" t="s">
        <v>25</v>
      </c>
      <c r="J431" s="5">
        <v>0</v>
      </c>
      <c r="K431" s="3" t="str" cm="1">
        <f t="array" ref="K431">_xlfn.IFS(J431&lt;=5, "0-5", J431&lt;=10, "6-10", J431&lt;=15, "11-15", J431&lt;=20, "16-20", J431&gt;20, "21+")</f>
        <v>0-5</v>
      </c>
      <c r="N431" s="4" t="str">
        <f t="shared" si="197"/>
        <v>NA</v>
      </c>
      <c r="O431" s="5">
        <v>4.8</v>
      </c>
      <c r="R431" s="1">
        <v>0.84</v>
      </c>
      <c r="S431" s="6">
        <f t="shared" si="217"/>
        <v>0.84</v>
      </c>
    </row>
    <row r="432" spans="1:19" ht="13.5" x14ac:dyDescent="0.25">
      <c r="A432" t="s">
        <v>1081</v>
      </c>
      <c r="B432" t="s">
        <v>1082</v>
      </c>
      <c r="C432" t="str">
        <f t="shared" si="203"/>
        <v>Christopher Mcclain</v>
      </c>
      <c r="D432" t="s">
        <v>311</v>
      </c>
      <c r="E432" s="3" t="str">
        <f t="shared" si="196"/>
        <v>Male</v>
      </c>
      <c r="F432" s="5">
        <v>44</v>
      </c>
      <c r="G432" t="s">
        <v>177</v>
      </c>
      <c r="H432" t="s">
        <v>178</v>
      </c>
      <c r="I432" t="s">
        <v>290</v>
      </c>
      <c r="K432" s="3" t="str" cm="1">
        <f t="array" ref="K432">_xlfn.IFS(J432&lt;=5, "0-5", J432&lt;=10, "6-10", J432&lt;=15, "11-15", J432&lt;=20, "16-20", J432&gt;20, "21+")</f>
        <v>0-5</v>
      </c>
      <c r="N432" s="4" t="str">
        <f t="shared" si="197"/>
        <v>NA</v>
      </c>
      <c r="O432" s="5">
        <v>1.4</v>
      </c>
      <c r="P432">
        <v>0</v>
      </c>
      <c r="Q432" t="s">
        <v>54</v>
      </c>
      <c r="R432" s="1">
        <v>0.93</v>
      </c>
      <c r="S432" s="6">
        <f t="shared" si="217"/>
        <v>0.93</v>
      </c>
    </row>
    <row r="433" spans="1:19" ht="13.5" x14ac:dyDescent="0.25">
      <c r="A433" t="s">
        <v>229</v>
      </c>
      <c r="B433" t="s">
        <v>230</v>
      </c>
      <c r="C433" t="str">
        <f>_xlfn.TEXTAFTER(B433,". ",)</f>
        <v>Paul Williamson</v>
      </c>
      <c r="D433" t="s">
        <v>43</v>
      </c>
      <c r="E433" s="3" t="str">
        <f t="shared" si="196"/>
        <v>Male</v>
      </c>
      <c r="F433" s="5">
        <v>40</v>
      </c>
      <c r="G433" t="s">
        <v>146</v>
      </c>
      <c r="H433" t="s">
        <v>147</v>
      </c>
      <c r="I433" t="s">
        <v>25</v>
      </c>
      <c r="J433" s="5">
        <v>13</v>
      </c>
      <c r="K433" s="3" t="str" cm="1">
        <f t="array" ref="K433">_xlfn.IFS(J433&lt;=5, "0-5", J433&lt;=10, "6-10", J433&lt;=15, "11-15", J433&lt;=20, "16-20", J433&gt;20, "21+")</f>
        <v>11-15</v>
      </c>
      <c r="L433" t="s">
        <v>40</v>
      </c>
      <c r="M433" s="4" t="str">
        <f t="shared" ref="M433" si="218">_xlfn.TEXTAFTER(L433, " ")</f>
        <v>100</v>
      </c>
      <c r="N433" s="4">
        <f t="shared" si="197"/>
        <v>100</v>
      </c>
      <c r="O433" s="5">
        <v>1.1000000000000001</v>
      </c>
      <c r="P433">
        <v>1</v>
      </c>
      <c r="Q433" t="s">
        <v>28</v>
      </c>
      <c r="S433" s="7"/>
    </row>
    <row r="434" spans="1:19" ht="13.5" x14ac:dyDescent="0.25">
      <c r="A434" t="s">
        <v>1083</v>
      </c>
      <c r="B434" t="s">
        <v>1084</v>
      </c>
      <c r="C434" t="str">
        <f t="shared" ref="C434:C453" si="219">B434</f>
        <v>Barbara Brown</v>
      </c>
      <c r="D434" t="s">
        <v>301</v>
      </c>
      <c r="E434" s="3" t="str">
        <f t="shared" si="196"/>
        <v>Female</v>
      </c>
      <c r="F434" s="5">
        <v>53</v>
      </c>
      <c r="G434" t="s">
        <v>52</v>
      </c>
      <c r="H434" t="s">
        <v>53</v>
      </c>
      <c r="I434" t="s">
        <v>284</v>
      </c>
      <c r="J434" s="5">
        <v>13</v>
      </c>
      <c r="K434" s="3" t="str" cm="1">
        <f t="array" ref="K434">_xlfn.IFS(J434&lt;=5, "0-5", J434&lt;=10, "6-10", J434&lt;=15, "11-15", J434&lt;=20, "16-20", J434&gt;20, "21+")</f>
        <v>11-15</v>
      </c>
      <c r="L434" s="2">
        <v>50</v>
      </c>
      <c r="M434" s="4" t="str">
        <f>SUBSTITUTE(L434, "$","")</f>
        <v>50</v>
      </c>
      <c r="N434" s="4">
        <f t="shared" si="197"/>
        <v>50</v>
      </c>
      <c r="O434" s="5">
        <v>3.3</v>
      </c>
      <c r="P434" t="s">
        <v>57</v>
      </c>
      <c r="Q434" t="s">
        <v>28</v>
      </c>
      <c r="R434" s="1">
        <v>0.93</v>
      </c>
      <c r="S434" s="6">
        <f t="shared" ref="S434:S443" si="220">R434</f>
        <v>0.93</v>
      </c>
    </row>
    <row r="435" spans="1:19" ht="13.5" x14ac:dyDescent="0.25">
      <c r="A435" t="s">
        <v>1085</v>
      </c>
      <c r="B435" t="s">
        <v>1086</v>
      </c>
      <c r="C435" t="str">
        <f t="shared" si="219"/>
        <v>Kimberly Allen</v>
      </c>
      <c r="D435" t="s">
        <v>37</v>
      </c>
      <c r="E435" s="3" t="str">
        <f t="shared" si="196"/>
        <v>Female</v>
      </c>
      <c r="F435" s="5">
        <v>35</v>
      </c>
      <c r="G435" t="s">
        <v>33</v>
      </c>
      <c r="H435" t="s">
        <v>34</v>
      </c>
      <c r="I435" t="s">
        <v>292</v>
      </c>
      <c r="J435" s="5">
        <v>0</v>
      </c>
      <c r="K435" s="3" t="str" cm="1">
        <f t="array" ref="K435">_xlfn.IFS(J435&lt;=5, "0-5", J435&lt;=10, "6-10", J435&lt;=15, "11-15", J435&lt;=20, "16-20", J435&gt;20, "21+")</f>
        <v>0-5</v>
      </c>
      <c r="L435" t="s">
        <v>72</v>
      </c>
      <c r="M435" s="4" t="str">
        <f t="shared" ref="M435:M436" si="221">_xlfn.TEXTAFTER(L435, " ")</f>
        <v>30</v>
      </c>
      <c r="N435" s="4">
        <f t="shared" si="197"/>
        <v>30</v>
      </c>
      <c r="O435" s="5">
        <v>4.5999999999999996</v>
      </c>
      <c r="R435" s="1">
        <v>0.97</v>
      </c>
      <c r="S435" s="6">
        <f t="shared" si="220"/>
        <v>0.97</v>
      </c>
    </row>
    <row r="436" spans="1:19" ht="13.5" x14ac:dyDescent="0.25">
      <c r="A436" t="s">
        <v>1087</v>
      </c>
      <c r="B436" t="s">
        <v>1088</v>
      </c>
      <c r="C436" t="str">
        <f t="shared" si="219"/>
        <v>Elizabeth Edwards</v>
      </c>
      <c r="D436" t="s">
        <v>21</v>
      </c>
      <c r="E436" s="3" t="str">
        <f t="shared" si="196"/>
        <v>Female</v>
      </c>
      <c r="F436" s="5">
        <v>27</v>
      </c>
      <c r="G436" t="s">
        <v>23</v>
      </c>
      <c r="H436" t="s">
        <v>24</v>
      </c>
      <c r="I436" t="s">
        <v>284</v>
      </c>
      <c r="J436" s="5">
        <v>7</v>
      </c>
      <c r="K436" s="3" t="str" cm="1">
        <f t="array" ref="K436">_xlfn.IFS(J436&lt;=5, "0-5", J436&lt;=10, "6-10", J436&lt;=15, "11-15", J436&lt;=20, "16-20", J436&gt;20, "21+")</f>
        <v>6-10</v>
      </c>
      <c r="L436" t="s">
        <v>92</v>
      </c>
      <c r="M436" s="4" t="str">
        <f t="shared" si="221"/>
        <v>75</v>
      </c>
      <c r="N436" s="4">
        <f t="shared" si="197"/>
        <v>75</v>
      </c>
      <c r="O436" s="5">
        <v>2.8</v>
      </c>
      <c r="P436">
        <v>1</v>
      </c>
      <c r="Q436" t="s">
        <v>28</v>
      </c>
      <c r="R436" s="1">
        <v>0.92</v>
      </c>
      <c r="S436" s="6">
        <f t="shared" si="220"/>
        <v>0.92</v>
      </c>
    </row>
    <row r="437" spans="1:19" ht="13.5" x14ac:dyDescent="0.25">
      <c r="A437" t="s">
        <v>1089</v>
      </c>
      <c r="B437" t="s">
        <v>1090</v>
      </c>
      <c r="C437" t="str">
        <f t="shared" si="219"/>
        <v>Anthony Downs</v>
      </c>
      <c r="D437" t="s">
        <v>311</v>
      </c>
      <c r="E437" s="3" t="str">
        <f t="shared" si="196"/>
        <v>Male</v>
      </c>
      <c r="F437" s="5">
        <v>34</v>
      </c>
      <c r="G437" t="s">
        <v>38</v>
      </c>
      <c r="H437" t="s">
        <v>39</v>
      </c>
      <c r="I437" t="s">
        <v>283</v>
      </c>
      <c r="J437" s="5">
        <v>6</v>
      </c>
      <c r="K437" s="3" t="str" cm="1">
        <f t="array" ref="K437">_xlfn.IFS(J437&lt;=5, "0-5", J437&lt;=10, "6-10", J437&lt;=15, "11-15", J437&lt;=20, "16-20", J437&gt;20, "21+")</f>
        <v>6-10</v>
      </c>
      <c r="L437">
        <v>50</v>
      </c>
      <c r="M437" s="4">
        <f t="shared" ref="M437:M439" si="222">L437</f>
        <v>50</v>
      </c>
      <c r="N437" s="4">
        <f t="shared" si="197"/>
        <v>50</v>
      </c>
      <c r="O437" s="5">
        <v>5</v>
      </c>
      <c r="P437" t="s">
        <v>57</v>
      </c>
      <c r="Q437" t="s">
        <v>28</v>
      </c>
      <c r="R437" s="1">
        <v>0.92</v>
      </c>
      <c r="S437" s="6">
        <f t="shared" si="220"/>
        <v>0.92</v>
      </c>
    </row>
    <row r="438" spans="1:19" ht="13.5" x14ac:dyDescent="0.25">
      <c r="A438" t="s">
        <v>1091</v>
      </c>
      <c r="B438" t="s">
        <v>1092</v>
      </c>
      <c r="C438" t="str">
        <f t="shared" si="219"/>
        <v>Jack Ortega</v>
      </c>
      <c r="D438" t="s">
        <v>31</v>
      </c>
      <c r="E438" s="3" t="str">
        <f t="shared" si="196"/>
        <v>Male</v>
      </c>
      <c r="F438" s="5">
        <v>24</v>
      </c>
      <c r="G438" t="s">
        <v>146</v>
      </c>
      <c r="H438" t="s">
        <v>147</v>
      </c>
      <c r="I438" t="s">
        <v>288</v>
      </c>
      <c r="J438" s="5">
        <v>2</v>
      </c>
      <c r="K438" s="3" t="str" cm="1">
        <f t="array" ref="K438">_xlfn.IFS(J438&lt;=5, "0-5", J438&lt;=10, "6-10", J438&lt;=15, "11-15", J438&lt;=20, "16-20", J438&gt;20, "21+")</f>
        <v>0-5</v>
      </c>
      <c r="L438">
        <v>75</v>
      </c>
      <c r="M438" s="4">
        <f t="shared" si="222"/>
        <v>75</v>
      </c>
      <c r="N438" s="4">
        <f t="shared" si="197"/>
        <v>75</v>
      </c>
      <c r="O438" s="5">
        <v>4.7</v>
      </c>
      <c r="P438" t="s">
        <v>81</v>
      </c>
      <c r="Q438" t="s">
        <v>54</v>
      </c>
      <c r="R438" s="1">
        <v>0.68</v>
      </c>
      <c r="S438" s="6">
        <f t="shared" si="220"/>
        <v>0.68</v>
      </c>
    </row>
    <row r="439" spans="1:19" ht="13.5" x14ac:dyDescent="0.25">
      <c r="A439" t="s">
        <v>1093</v>
      </c>
      <c r="B439" t="s">
        <v>1094</v>
      </c>
      <c r="C439" t="str">
        <f t="shared" si="219"/>
        <v>Marvin Moore</v>
      </c>
      <c r="D439" t="s">
        <v>31</v>
      </c>
      <c r="E439" s="3" t="str">
        <f t="shared" si="196"/>
        <v>Male</v>
      </c>
      <c r="F439" s="5">
        <v>57</v>
      </c>
      <c r="G439" t="s">
        <v>183</v>
      </c>
      <c r="H439" t="s">
        <v>39</v>
      </c>
      <c r="I439" t="s">
        <v>286</v>
      </c>
      <c r="J439" s="5">
        <v>13</v>
      </c>
      <c r="K439" s="3" t="str" cm="1">
        <f t="array" ref="K439">_xlfn.IFS(J439&lt;=5, "0-5", J439&lt;=10, "6-10", J439&lt;=15, "11-15", J439&lt;=20, "16-20", J439&gt;20, "21+")</f>
        <v>11-15</v>
      </c>
      <c r="L439">
        <v>100</v>
      </c>
      <c r="M439" s="4">
        <f t="shared" si="222"/>
        <v>100</v>
      </c>
      <c r="N439" s="4">
        <f t="shared" si="197"/>
        <v>100</v>
      </c>
      <c r="O439" s="5">
        <v>3.5</v>
      </c>
      <c r="P439" t="s">
        <v>81</v>
      </c>
      <c r="Q439" t="s">
        <v>54</v>
      </c>
      <c r="R439" s="1">
        <v>0.95</v>
      </c>
      <c r="S439" s="6">
        <f t="shared" si="220"/>
        <v>0.95</v>
      </c>
    </row>
    <row r="440" spans="1:19" ht="13.5" x14ac:dyDescent="0.25">
      <c r="A440" t="s">
        <v>1095</v>
      </c>
      <c r="B440" t="s">
        <v>1096</v>
      </c>
      <c r="C440" t="str">
        <f t="shared" si="219"/>
        <v>Tony French</v>
      </c>
      <c r="D440" t="s">
        <v>43</v>
      </c>
      <c r="E440" s="3" t="str">
        <f t="shared" si="196"/>
        <v>Male</v>
      </c>
      <c r="F440" s="5">
        <v>28</v>
      </c>
      <c r="G440" t="s">
        <v>62</v>
      </c>
      <c r="H440" t="s">
        <v>63</v>
      </c>
      <c r="I440" t="s">
        <v>286</v>
      </c>
      <c r="J440" s="5">
        <v>7</v>
      </c>
      <c r="K440" s="3" t="str" cm="1">
        <f t="array" ref="K440">_xlfn.IFS(J440&lt;=5, "0-5", J440&lt;=10, "6-10", J440&lt;=15, "11-15", J440&lt;=20, "16-20", J440&gt;20, "21+")</f>
        <v>6-10</v>
      </c>
      <c r="L440" s="2">
        <v>100</v>
      </c>
      <c r="M440" s="4" t="str">
        <f>SUBSTITUTE(L440, "$","")</f>
        <v>100</v>
      </c>
      <c r="N440" s="4">
        <f t="shared" si="197"/>
        <v>100</v>
      </c>
      <c r="O440" s="5">
        <v>4.3</v>
      </c>
      <c r="P440" t="b">
        <v>0</v>
      </c>
      <c r="Q440" t="s">
        <v>54</v>
      </c>
      <c r="R440" s="1">
        <v>0.76</v>
      </c>
      <c r="S440" s="6">
        <f t="shared" si="220"/>
        <v>0.76</v>
      </c>
    </row>
    <row r="441" spans="1:19" ht="13.5" x14ac:dyDescent="0.25">
      <c r="A441" t="s">
        <v>1097</v>
      </c>
      <c r="B441" t="s">
        <v>1098</v>
      </c>
      <c r="C441" t="str">
        <f t="shared" si="219"/>
        <v>Stacy Hudson</v>
      </c>
      <c r="D441" t="s">
        <v>301</v>
      </c>
      <c r="E441" s="3" t="str">
        <f t="shared" si="196"/>
        <v>Female</v>
      </c>
      <c r="F441" s="5">
        <v>26</v>
      </c>
      <c r="G441" t="s">
        <v>253</v>
      </c>
      <c r="H441" t="s">
        <v>254</v>
      </c>
      <c r="I441" t="s">
        <v>283</v>
      </c>
      <c r="J441" s="5">
        <v>7</v>
      </c>
      <c r="K441" s="3" t="str" cm="1">
        <f t="array" ref="K441">_xlfn.IFS(J441&lt;=5, "0-5", J441&lt;=10, "6-10", J441&lt;=15, "11-15", J441&lt;=20, "16-20", J441&gt;20, "21+")</f>
        <v>6-10</v>
      </c>
      <c r="L441" t="s">
        <v>40</v>
      </c>
      <c r="M441" s="4" t="str">
        <f t="shared" ref="M441" si="223">_xlfn.TEXTAFTER(L441, " ")</f>
        <v>100</v>
      </c>
      <c r="N441" s="4">
        <f t="shared" si="197"/>
        <v>100</v>
      </c>
      <c r="O441" s="5">
        <v>3.3</v>
      </c>
      <c r="P441" t="s">
        <v>27</v>
      </c>
      <c r="Q441" t="s">
        <v>28</v>
      </c>
      <c r="R441" s="1">
        <v>0.66</v>
      </c>
      <c r="S441" s="6">
        <f t="shared" si="220"/>
        <v>0.66</v>
      </c>
    </row>
    <row r="442" spans="1:19" ht="13.5" x14ac:dyDescent="0.25">
      <c r="A442" t="s">
        <v>1099</v>
      </c>
      <c r="B442" t="s">
        <v>1100</v>
      </c>
      <c r="C442" t="str">
        <f t="shared" si="219"/>
        <v>Scott Washington</v>
      </c>
      <c r="D442" t="s">
        <v>32</v>
      </c>
      <c r="E442" s="3" t="str">
        <f t="shared" si="196"/>
        <v>Male</v>
      </c>
      <c r="F442" s="5">
        <v>34</v>
      </c>
      <c r="G442" t="s">
        <v>23</v>
      </c>
      <c r="H442" t="s">
        <v>24</v>
      </c>
      <c r="I442" t="s">
        <v>285</v>
      </c>
      <c r="J442" s="5">
        <v>15</v>
      </c>
      <c r="K442" s="3" t="str" cm="1">
        <f t="array" ref="K442">_xlfn.IFS(J442&lt;=5, "0-5", J442&lt;=10, "6-10", J442&lt;=15, "11-15", J442&lt;=20, "16-20", J442&gt;20, "21+")</f>
        <v>11-15</v>
      </c>
      <c r="L442">
        <v>75</v>
      </c>
      <c r="M442" s="4">
        <f>L442</f>
        <v>75</v>
      </c>
      <c r="N442" s="4">
        <f t="shared" si="197"/>
        <v>75</v>
      </c>
      <c r="P442">
        <v>0</v>
      </c>
      <c r="Q442" t="s">
        <v>54</v>
      </c>
      <c r="R442" s="1">
        <v>0.73</v>
      </c>
      <c r="S442" s="6">
        <f t="shared" si="220"/>
        <v>0.73</v>
      </c>
    </row>
    <row r="443" spans="1:19" ht="13.5" x14ac:dyDescent="0.25">
      <c r="A443" t="s">
        <v>227</v>
      </c>
      <c r="B443" t="s">
        <v>228</v>
      </c>
      <c r="C443" t="str">
        <f t="shared" si="219"/>
        <v>Timothy Wright</v>
      </c>
      <c r="D443" t="s">
        <v>32</v>
      </c>
      <c r="E443" s="3" t="str">
        <f t="shared" si="196"/>
        <v>Male</v>
      </c>
      <c r="F443" s="5">
        <v>43</v>
      </c>
      <c r="G443" t="s">
        <v>88</v>
      </c>
      <c r="H443" t="s">
        <v>89</v>
      </c>
      <c r="I443" t="s">
        <v>25</v>
      </c>
      <c r="K443" s="3" t="str" cm="1">
        <f t="array" ref="K443">_xlfn.IFS(J443&lt;=5, "0-5", J443&lt;=10, "6-10", J443&lt;=15, "11-15", J443&lt;=20, "16-20", J443&gt;20, "21+")</f>
        <v>0-5</v>
      </c>
      <c r="L443" t="s">
        <v>78</v>
      </c>
      <c r="M443" s="4" t="str">
        <f t="shared" ref="M443" si="224">_xlfn.TEXTAFTER(L443, " ")</f>
        <v>20</v>
      </c>
      <c r="N443" s="4">
        <f t="shared" si="197"/>
        <v>20</v>
      </c>
      <c r="O443" s="5">
        <v>2.8</v>
      </c>
      <c r="R443" s="1">
        <v>0.99</v>
      </c>
      <c r="S443" s="6">
        <f t="shared" si="220"/>
        <v>0.99</v>
      </c>
    </row>
    <row r="444" spans="1:19" ht="13.5" x14ac:dyDescent="0.25">
      <c r="A444" t="s">
        <v>1101</v>
      </c>
      <c r="B444" t="s">
        <v>1102</v>
      </c>
      <c r="C444" t="str">
        <f t="shared" si="219"/>
        <v>Joseph Gonzalez</v>
      </c>
      <c r="D444" t="s">
        <v>328</v>
      </c>
      <c r="E444" s="3" t="str">
        <f t="shared" si="196"/>
        <v>Male</v>
      </c>
      <c r="F444" s="5">
        <v>31</v>
      </c>
      <c r="G444" t="s">
        <v>165</v>
      </c>
      <c r="H444" t="s">
        <v>166</v>
      </c>
      <c r="I444" t="s">
        <v>287</v>
      </c>
      <c r="J444" s="5">
        <v>5</v>
      </c>
      <c r="K444" s="3" t="str" cm="1">
        <f t="array" ref="K444">_xlfn.IFS(J444&lt;=5, "0-5", J444&lt;=10, "6-10", J444&lt;=15, "11-15", J444&lt;=20, "16-20", J444&gt;20, "21+")</f>
        <v>0-5</v>
      </c>
      <c r="N444" s="4" t="str">
        <f t="shared" si="197"/>
        <v>NA</v>
      </c>
      <c r="O444" s="5">
        <v>2.7</v>
      </c>
      <c r="P444">
        <v>1</v>
      </c>
      <c r="Q444" t="s">
        <v>28</v>
      </c>
      <c r="R444">
        <v>94</v>
      </c>
      <c r="S444" s="6">
        <f t="shared" ref="S444:S445" si="225">R444/100</f>
        <v>0.94</v>
      </c>
    </row>
    <row r="445" spans="1:19" ht="13.5" x14ac:dyDescent="0.25">
      <c r="A445" t="s">
        <v>1103</v>
      </c>
      <c r="B445" t="s">
        <v>1104</v>
      </c>
      <c r="C445" t="str">
        <f t="shared" si="219"/>
        <v>Andrea Perez</v>
      </c>
      <c r="D445" t="s">
        <v>21</v>
      </c>
      <c r="E445" s="3" t="str">
        <f t="shared" si="196"/>
        <v>Female</v>
      </c>
      <c r="F445" s="5">
        <v>34</v>
      </c>
      <c r="G445" t="s">
        <v>165</v>
      </c>
      <c r="H445" t="s">
        <v>166</v>
      </c>
      <c r="I445" t="s">
        <v>292</v>
      </c>
      <c r="K445" s="3" t="str" cm="1">
        <f t="array" ref="K445">_xlfn.IFS(J445&lt;=5, "0-5", J445&lt;=10, "6-10", J445&lt;=15, "11-15", J445&lt;=20, "16-20", J445&gt;20, "21+")</f>
        <v>0-5</v>
      </c>
      <c r="L445" s="2">
        <v>50</v>
      </c>
      <c r="M445" s="4" t="str">
        <f t="shared" ref="M445:M447" si="226">SUBSTITUTE(L445, "$","")</f>
        <v>50</v>
      </c>
      <c r="N445" s="4">
        <f t="shared" si="197"/>
        <v>50</v>
      </c>
      <c r="O445" s="5">
        <v>0</v>
      </c>
      <c r="P445" t="b">
        <v>0</v>
      </c>
      <c r="Q445" t="s">
        <v>54</v>
      </c>
      <c r="R445">
        <v>84</v>
      </c>
      <c r="S445" s="6">
        <f t="shared" si="225"/>
        <v>0.84</v>
      </c>
    </row>
    <row r="446" spans="1:19" ht="13.5" x14ac:dyDescent="0.25">
      <c r="A446" t="s">
        <v>1105</v>
      </c>
      <c r="B446" t="s">
        <v>1106</v>
      </c>
      <c r="C446" t="str">
        <f t="shared" si="219"/>
        <v>Angel Collins</v>
      </c>
      <c r="D446" t="s">
        <v>301</v>
      </c>
      <c r="E446" s="3" t="str">
        <f t="shared" si="196"/>
        <v>Female</v>
      </c>
      <c r="F446" s="5">
        <v>32</v>
      </c>
      <c r="G446" t="s">
        <v>95</v>
      </c>
      <c r="H446" t="s">
        <v>96</v>
      </c>
      <c r="I446" t="s">
        <v>288</v>
      </c>
      <c r="J446" s="5">
        <v>10</v>
      </c>
      <c r="K446" s="3" t="str" cm="1">
        <f t="array" ref="K446">_xlfn.IFS(J446&lt;=5, "0-5", J446&lt;=10, "6-10", J446&lt;=15, "11-15", J446&lt;=20, "16-20", J446&gt;20, "21+")</f>
        <v>6-10</v>
      </c>
      <c r="L446" s="2">
        <v>20</v>
      </c>
      <c r="M446" s="4" t="str">
        <f t="shared" si="226"/>
        <v>20</v>
      </c>
      <c r="N446" s="4">
        <f t="shared" si="197"/>
        <v>20</v>
      </c>
      <c r="P446" t="s">
        <v>57</v>
      </c>
      <c r="Q446" t="s">
        <v>28</v>
      </c>
      <c r="R446" s="1">
        <v>0.92</v>
      </c>
      <c r="S446" s="6">
        <f>R446</f>
        <v>0.92</v>
      </c>
    </row>
    <row r="447" spans="1:19" ht="13.5" x14ac:dyDescent="0.25">
      <c r="A447" t="s">
        <v>1107</v>
      </c>
      <c r="B447" t="s">
        <v>1108</v>
      </c>
      <c r="C447" t="str">
        <f t="shared" si="219"/>
        <v>Daniel Terry</v>
      </c>
      <c r="D447" t="s">
        <v>43</v>
      </c>
      <c r="E447" s="3" t="str">
        <f t="shared" si="196"/>
        <v>Male</v>
      </c>
      <c r="F447" s="5">
        <v>24</v>
      </c>
      <c r="G447" t="s">
        <v>117</v>
      </c>
      <c r="H447" t="s">
        <v>118</v>
      </c>
      <c r="I447" t="s">
        <v>283</v>
      </c>
      <c r="J447" s="5">
        <v>6</v>
      </c>
      <c r="K447" s="3" t="str" cm="1">
        <f t="array" ref="K447">_xlfn.IFS(J447&lt;=5, "0-5", J447&lt;=10, "6-10", J447&lt;=15, "11-15", J447&lt;=20, "16-20", J447&gt;20, "21+")</f>
        <v>6-10</v>
      </c>
      <c r="L447" s="2">
        <v>75</v>
      </c>
      <c r="M447" s="4" t="str">
        <f t="shared" si="226"/>
        <v>75</v>
      </c>
      <c r="N447" s="4">
        <f t="shared" si="197"/>
        <v>75</v>
      </c>
      <c r="O447" s="5">
        <v>4.3</v>
      </c>
      <c r="P447" t="s">
        <v>27</v>
      </c>
      <c r="Q447" t="s">
        <v>28</v>
      </c>
      <c r="S447" s="7"/>
    </row>
    <row r="448" spans="1:19" ht="13.5" x14ac:dyDescent="0.25">
      <c r="A448" t="s">
        <v>225</v>
      </c>
      <c r="B448" t="s">
        <v>226</v>
      </c>
      <c r="C448" t="str">
        <f t="shared" si="219"/>
        <v>Steven Whitaker</v>
      </c>
      <c r="D448" t="s">
        <v>31</v>
      </c>
      <c r="E448" s="3" t="str">
        <f t="shared" si="196"/>
        <v>Male</v>
      </c>
      <c r="F448" s="5">
        <v>35</v>
      </c>
      <c r="G448" t="s">
        <v>152</v>
      </c>
      <c r="H448" t="s">
        <v>39</v>
      </c>
      <c r="I448" t="s">
        <v>25</v>
      </c>
      <c r="J448" s="5">
        <v>8</v>
      </c>
      <c r="K448" s="3" t="str" cm="1">
        <f t="array" ref="K448">_xlfn.IFS(J448&lt;=5, "0-5", J448&lt;=10, "6-10", J448&lt;=15, "11-15", J448&lt;=20, "16-20", J448&gt;20, "21+")</f>
        <v>6-10</v>
      </c>
      <c r="L448" t="s">
        <v>112</v>
      </c>
      <c r="M448" s="4" t="str">
        <f t="shared" ref="M448" si="227">_xlfn.TEXTAFTER(L448, " ")</f>
        <v>50</v>
      </c>
      <c r="N448" s="4">
        <f t="shared" si="197"/>
        <v>50</v>
      </c>
      <c r="P448" t="s">
        <v>81</v>
      </c>
      <c r="Q448" t="s">
        <v>54</v>
      </c>
      <c r="R448">
        <v>90</v>
      </c>
      <c r="S448" s="6">
        <f>R448/100</f>
        <v>0.9</v>
      </c>
    </row>
    <row r="449" spans="1:19" ht="13.5" x14ac:dyDescent="0.25">
      <c r="A449" t="s">
        <v>1109</v>
      </c>
      <c r="B449" t="s">
        <v>1110</v>
      </c>
      <c r="C449" t="str">
        <f t="shared" si="219"/>
        <v>Denise Neal</v>
      </c>
      <c r="D449" t="s">
        <v>21</v>
      </c>
      <c r="E449" s="3" t="str">
        <f t="shared" si="196"/>
        <v>Female</v>
      </c>
      <c r="F449" s="5">
        <v>22</v>
      </c>
      <c r="G449" t="s">
        <v>38</v>
      </c>
      <c r="H449" t="s">
        <v>39</v>
      </c>
      <c r="I449" t="s">
        <v>285</v>
      </c>
      <c r="J449" s="5">
        <v>4</v>
      </c>
      <c r="K449" s="3" t="str" cm="1">
        <f t="array" ref="K449">_xlfn.IFS(J449&lt;=5, "0-5", J449&lt;=10, "6-10", J449&lt;=15, "11-15", J449&lt;=20, "16-20", J449&gt;20, "21+")</f>
        <v>0-5</v>
      </c>
      <c r="L449">
        <v>20</v>
      </c>
      <c r="M449" s="4">
        <f t="shared" ref="M449:M451" si="228">L449</f>
        <v>20</v>
      </c>
      <c r="N449" s="4">
        <f t="shared" si="197"/>
        <v>20</v>
      </c>
      <c r="P449">
        <v>0</v>
      </c>
      <c r="Q449" t="s">
        <v>54</v>
      </c>
      <c r="R449" s="1">
        <v>0.73</v>
      </c>
      <c r="S449" s="6">
        <f t="shared" ref="S449:S453" si="229">R449</f>
        <v>0.73</v>
      </c>
    </row>
    <row r="450" spans="1:19" ht="13.5" x14ac:dyDescent="0.25">
      <c r="A450" t="s">
        <v>223</v>
      </c>
      <c r="B450" t="s">
        <v>224</v>
      </c>
      <c r="C450" t="str">
        <f t="shared" si="219"/>
        <v>Amanda Jacobs</v>
      </c>
      <c r="D450" t="s">
        <v>301</v>
      </c>
      <c r="E450" s="3" t="str">
        <f t="shared" si="196"/>
        <v>Female</v>
      </c>
      <c r="F450" s="5">
        <v>55</v>
      </c>
      <c r="G450" t="s">
        <v>117</v>
      </c>
      <c r="H450" t="s">
        <v>118</v>
      </c>
      <c r="I450" t="s">
        <v>25</v>
      </c>
      <c r="J450" s="5">
        <v>3</v>
      </c>
      <c r="K450" s="3" t="str" cm="1">
        <f t="array" ref="K450">_xlfn.IFS(J450&lt;=5, "0-5", J450&lt;=10, "6-10", J450&lt;=15, "11-15", J450&lt;=20, "16-20", J450&gt;20, "21+")</f>
        <v>0-5</v>
      </c>
      <c r="L450">
        <v>100</v>
      </c>
      <c r="M450" s="4">
        <f t="shared" si="228"/>
        <v>100</v>
      </c>
      <c r="N450" s="4">
        <f t="shared" si="197"/>
        <v>100</v>
      </c>
      <c r="P450">
        <v>1</v>
      </c>
      <c r="Q450" t="s">
        <v>28</v>
      </c>
      <c r="R450" s="1">
        <v>0.73</v>
      </c>
      <c r="S450" s="6">
        <f t="shared" si="229"/>
        <v>0.73</v>
      </c>
    </row>
    <row r="451" spans="1:19" ht="13.5" x14ac:dyDescent="0.25">
      <c r="A451" t="s">
        <v>1111</v>
      </c>
      <c r="B451" t="s">
        <v>1112</v>
      </c>
      <c r="C451" t="str">
        <f t="shared" si="219"/>
        <v>Karen Mercer</v>
      </c>
      <c r="D451" t="s">
        <v>304</v>
      </c>
      <c r="E451" s="3" t="str">
        <f t="shared" ref="E451:E514" si="230">IF(LOWER(LEFT(D451,1)) = "f", "Female", "Male")</f>
        <v>Female</v>
      </c>
      <c r="F451" s="5">
        <v>54</v>
      </c>
      <c r="G451" t="s">
        <v>23</v>
      </c>
      <c r="H451" t="s">
        <v>24</v>
      </c>
      <c r="I451" t="s">
        <v>284</v>
      </c>
      <c r="K451" s="3" t="str" cm="1">
        <f t="array" ref="K451">_xlfn.IFS(J451&lt;=5, "0-5", J451&lt;=10, "6-10", J451&lt;=15, "11-15", J451&lt;=20, "16-20", J451&gt;20, "21+")</f>
        <v>0-5</v>
      </c>
      <c r="L451">
        <v>30</v>
      </c>
      <c r="M451" s="4">
        <f t="shared" si="228"/>
        <v>30</v>
      </c>
      <c r="N451" s="4">
        <f t="shared" ref="N451:N514" si="231">IF(M451="","NA",ROUND(M451,0))</f>
        <v>30</v>
      </c>
      <c r="O451" s="5">
        <v>2.9</v>
      </c>
      <c r="P451" t="b">
        <v>1</v>
      </c>
      <c r="Q451" t="s">
        <v>28</v>
      </c>
      <c r="R451" s="1">
        <v>0.78</v>
      </c>
      <c r="S451" s="6">
        <f t="shared" si="229"/>
        <v>0.78</v>
      </c>
    </row>
    <row r="452" spans="1:19" ht="13.5" x14ac:dyDescent="0.25">
      <c r="A452" t="s">
        <v>1113</v>
      </c>
      <c r="B452" t="s">
        <v>1114</v>
      </c>
      <c r="C452" t="str">
        <f t="shared" si="219"/>
        <v>Lindsay Hudson</v>
      </c>
      <c r="D452" t="s">
        <v>37</v>
      </c>
      <c r="E452" s="3" t="str">
        <f t="shared" si="230"/>
        <v>Female</v>
      </c>
      <c r="F452" s="5">
        <v>36</v>
      </c>
      <c r="G452" t="s">
        <v>52</v>
      </c>
      <c r="H452" t="s">
        <v>53</v>
      </c>
      <c r="I452" t="s">
        <v>288</v>
      </c>
      <c r="J452" s="5">
        <v>11</v>
      </c>
      <c r="K452" s="3" t="str" cm="1">
        <f t="array" ref="K452">_xlfn.IFS(J452&lt;=5, "0-5", J452&lt;=10, "6-10", J452&lt;=15, "11-15", J452&lt;=20, "16-20", J452&gt;20, "21+")</f>
        <v>11-15</v>
      </c>
      <c r="L452" s="2">
        <v>30</v>
      </c>
      <c r="M452" s="4" t="str">
        <f>SUBSTITUTE(L452, "$","")</f>
        <v>30</v>
      </c>
      <c r="N452" s="4">
        <f t="shared" si="231"/>
        <v>30</v>
      </c>
      <c r="O452" s="5">
        <v>0</v>
      </c>
      <c r="P452" t="b">
        <v>1</v>
      </c>
      <c r="Q452" t="s">
        <v>28</v>
      </c>
      <c r="R452" s="1">
        <v>0.63</v>
      </c>
      <c r="S452" s="6">
        <f t="shared" si="229"/>
        <v>0.63</v>
      </c>
    </row>
    <row r="453" spans="1:19" ht="13.5" x14ac:dyDescent="0.25">
      <c r="A453" t="s">
        <v>221</v>
      </c>
      <c r="B453" t="s">
        <v>222</v>
      </c>
      <c r="C453" t="str">
        <f t="shared" si="219"/>
        <v>Stephanie Armstrong</v>
      </c>
      <c r="D453" t="s">
        <v>304</v>
      </c>
      <c r="E453" s="3" t="str">
        <f t="shared" si="230"/>
        <v>Female</v>
      </c>
      <c r="F453" s="5">
        <v>36</v>
      </c>
      <c r="G453" t="s">
        <v>52</v>
      </c>
      <c r="H453" t="s">
        <v>53</v>
      </c>
      <c r="I453" t="s">
        <v>25</v>
      </c>
      <c r="J453" s="5">
        <v>17</v>
      </c>
      <c r="K453" s="3" t="str" cm="1">
        <f t="array" ref="K453">_xlfn.IFS(J453&lt;=5, "0-5", J453&lt;=10, "6-10", J453&lt;=15, "11-15", J453&lt;=20, "16-20", J453&gt;20, "21+")</f>
        <v>16-20</v>
      </c>
      <c r="L453">
        <v>50</v>
      </c>
      <c r="M453" s="4">
        <f t="shared" ref="M453:M455" si="232">L453</f>
        <v>50</v>
      </c>
      <c r="N453" s="4">
        <f t="shared" si="231"/>
        <v>50</v>
      </c>
      <c r="O453" s="5">
        <v>1.3</v>
      </c>
      <c r="R453" s="1">
        <v>0.64</v>
      </c>
      <c r="S453" s="6">
        <f t="shared" si="229"/>
        <v>0.64</v>
      </c>
    </row>
    <row r="454" spans="1:19" ht="13.5" x14ac:dyDescent="0.25">
      <c r="A454" t="s">
        <v>1115</v>
      </c>
      <c r="B454" t="s">
        <v>1116</v>
      </c>
      <c r="C454" t="str">
        <f>_xlfn.TEXTAFTER(B454,". ",)</f>
        <v>Jessica Campbell</v>
      </c>
      <c r="D454" t="s">
        <v>37</v>
      </c>
      <c r="E454" s="3" t="str">
        <f t="shared" si="230"/>
        <v>Female</v>
      </c>
      <c r="F454" s="5">
        <v>25</v>
      </c>
      <c r="G454" t="s">
        <v>23</v>
      </c>
      <c r="H454" t="s">
        <v>24</v>
      </c>
      <c r="I454" t="s">
        <v>290</v>
      </c>
      <c r="J454" s="5">
        <v>1</v>
      </c>
      <c r="K454" s="3" t="str" cm="1">
        <f t="array" ref="K454">_xlfn.IFS(J454&lt;=5, "0-5", J454&lt;=10, "6-10", J454&lt;=15, "11-15", J454&lt;=20, "16-20", J454&gt;20, "21+")</f>
        <v>0-5</v>
      </c>
      <c r="L454">
        <v>75</v>
      </c>
      <c r="M454" s="4">
        <f t="shared" si="232"/>
        <v>75</v>
      </c>
      <c r="N454" s="4">
        <f t="shared" si="231"/>
        <v>75</v>
      </c>
      <c r="O454" s="5">
        <v>0</v>
      </c>
      <c r="P454">
        <v>1</v>
      </c>
      <c r="Q454" t="s">
        <v>28</v>
      </c>
      <c r="S454" s="7"/>
    </row>
    <row r="455" spans="1:19" ht="13.5" x14ac:dyDescent="0.25">
      <c r="A455" t="s">
        <v>219</v>
      </c>
      <c r="B455" t="s">
        <v>220</v>
      </c>
      <c r="C455" t="str">
        <f t="shared" ref="C455:C462" si="233">B455</f>
        <v>Curtis Maxwell</v>
      </c>
      <c r="D455" t="s">
        <v>32</v>
      </c>
      <c r="E455" s="3" t="str">
        <f t="shared" si="230"/>
        <v>Male</v>
      </c>
      <c r="F455" s="5">
        <v>46</v>
      </c>
      <c r="G455" t="s">
        <v>104</v>
      </c>
      <c r="H455" t="s">
        <v>105</v>
      </c>
      <c r="I455" t="s">
        <v>25</v>
      </c>
      <c r="J455" s="5">
        <v>16</v>
      </c>
      <c r="K455" s="3" t="str" cm="1">
        <f t="array" ref="K455">_xlfn.IFS(J455&lt;=5, "0-5", J455&lt;=10, "6-10", J455&lt;=15, "11-15", J455&lt;=20, "16-20", J455&gt;20, "21+")</f>
        <v>16-20</v>
      </c>
      <c r="L455">
        <v>20</v>
      </c>
      <c r="M455" s="4">
        <f t="shared" si="232"/>
        <v>20</v>
      </c>
      <c r="N455" s="4">
        <f t="shared" si="231"/>
        <v>20</v>
      </c>
      <c r="O455" s="5">
        <v>4.8</v>
      </c>
      <c r="P455">
        <v>1</v>
      </c>
      <c r="Q455" t="s">
        <v>28</v>
      </c>
      <c r="R455" s="1">
        <v>0.86</v>
      </c>
      <c r="S455" s="6">
        <f>R455</f>
        <v>0.86</v>
      </c>
    </row>
    <row r="456" spans="1:19" ht="13.5" x14ac:dyDescent="0.25">
      <c r="A456" t="s">
        <v>1117</v>
      </c>
      <c r="B456" t="s">
        <v>1118</v>
      </c>
      <c r="C456" t="str">
        <f t="shared" si="233"/>
        <v>Adam Kelly PhD</v>
      </c>
      <c r="D456" t="s">
        <v>328</v>
      </c>
      <c r="E456" s="3" t="str">
        <f t="shared" si="230"/>
        <v>Male</v>
      </c>
      <c r="F456" s="5">
        <v>41</v>
      </c>
      <c r="G456" t="s">
        <v>23</v>
      </c>
      <c r="H456" t="s">
        <v>24</v>
      </c>
      <c r="I456" t="s">
        <v>284</v>
      </c>
      <c r="J456" s="5">
        <v>11</v>
      </c>
      <c r="K456" s="3" t="str" cm="1">
        <f t="array" ref="K456">_xlfn.IFS(J456&lt;=5, "0-5", J456&lt;=10, "6-10", J456&lt;=15, "11-15", J456&lt;=20, "16-20", J456&gt;20, "21+")</f>
        <v>11-15</v>
      </c>
      <c r="L456" s="2">
        <v>40</v>
      </c>
      <c r="M456" s="4" t="str">
        <f t="shared" ref="M456:M459" si="234">SUBSTITUTE(L456, "$","")</f>
        <v>40</v>
      </c>
      <c r="N456" s="4">
        <f t="shared" si="231"/>
        <v>40</v>
      </c>
      <c r="O456" s="5">
        <v>2.4</v>
      </c>
      <c r="P456" t="b">
        <v>0</v>
      </c>
      <c r="Q456" t="s">
        <v>54</v>
      </c>
      <c r="S456" s="7"/>
    </row>
    <row r="457" spans="1:19" ht="13.5" x14ac:dyDescent="0.25">
      <c r="A457" t="s">
        <v>1119</v>
      </c>
      <c r="B457" t="s">
        <v>1120</v>
      </c>
      <c r="C457" t="str">
        <f t="shared" si="233"/>
        <v>Julie Becker</v>
      </c>
      <c r="D457" t="s">
        <v>21</v>
      </c>
      <c r="E457" s="3" t="str">
        <f t="shared" si="230"/>
        <v>Female</v>
      </c>
      <c r="F457" s="5">
        <v>21</v>
      </c>
      <c r="G457" t="s">
        <v>95</v>
      </c>
      <c r="H457" t="s">
        <v>96</v>
      </c>
      <c r="I457" t="s">
        <v>285</v>
      </c>
      <c r="J457" s="5">
        <v>3</v>
      </c>
      <c r="K457" s="3" t="str" cm="1">
        <f t="array" ref="K457">_xlfn.IFS(J457&lt;=5, "0-5", J457&lt;=10, "6-10", J457&lt;=15, "11-15", J457&lt;=20, "16-20", J457&gt;20, "21+")</f>
        <v>0-5</v>
      </c>
      <c r="L457" s="2">
        <v>100</v>
      </c>
      <c r="M457" s="4" t="str">
        <f t="shared" si="234"/>
        <v>100</v>
      </c>
      <c r="N457" s="4">
        <f t="shared" si="231"/>
        <v>100</v>
      </c>
      <c r="O457" s="5">
        <v>4.7</v>
      </c>
      <c r="P457" t="s">
        <v>64</v>
      </c>
      <c r="Q457" t="s">
        <v>54</v>
      </c>
      <c r="R457" s="1">
        <v>0.96</v>
      </c>
      <c r="S457" s="6">
        <f>R457</f>
        <v>0.96</v>
      </c>
    </row>
    <row r="458" spans="1:19" ht="13.5" x14ac:dyDescent="0.25">
      <c r="A458" t="s">
        <v>1121</v>
      </c>
      <c r="B458" t="s">
        <v>1122</v>
      </c>
      <c r="C458" t="str">
        <f t="shared" si="233"/>
        <v>James Moore</v>
      </c>
      <c r="D458" t="s">
        <v>32</v>
      </c>
      <c r="E458" s="3" t="str">
        <f t="shared" si="230"/>
        <v>Male</v>
      </c>
      <c r="F458" s="5">
        <v>29</v>
      </c>
      <c r="G458" t="s">
        <v>183</v>
      </c>
      <c r="H458" t="s">
        <v>39</v>
      </c>
      <c r="I458" t="s">
        <v>287</v>
      </c>
      <c r="K458" s="3" t="str" cm="1">
        <f t="array" ref="K458">_xlfn.IFS(J458&lt;=5, "0-5", J458&lt;=10, "6-10", J458&lt;=15, "11-15", J458&lt;=20, "16-20", J458&gt;20, "21+")</f>
        <v>0-5</v>
      </c>
      <c r="L458" s="2">
        <v>75</v>
      </c>
      <c r="M458" s="4" t="str">
        <f t="shared" si="234"/>
        <v>75</v>
      </c>
      <c r="N458" s="4">
        <f t="shared" si="231"/>
        <v>75</v>
      </c>
      <c r="O458" s="5">
        <v>2</v>
      </c>
      <c r="P458">
        <v>0</v>
      </c>
      <c r="Q458" t="s">
        <v>54</v>
      </c>
      <c r="S458" s="7"/>
    </row>
    <row r="459" spans="1:19" ht="13.5" x14ac:dyDescent="0.25">
      <c r="A459" t="s">
        <v>1123</v>
      </c>
      <c r="B459" t="s">
        <v>1124</v>
      </c>
      <c r="C459" t="str">
        <f t="shared" si="233"/>
        <v>Danielle Barrera</v>
      </c>
      <c r="D459" t="s">
        <v>301</v>
      </c>
      <c r="E459" s="3" t="str">
        <f t="shared" si="230"/>
        <v>Female</v>
      </c>
      <c r="F459" s="5">
        <v>44</v>
      </c>
      <c r="G459" t="s">
        <v>183</v>
      </c>
      <c r="H459" t="s">
        <v>39</v>
      </c>
      <c r="I459" t="s">
        <v>285</v>
      </c>
      <c r="J459" s="5">
        <v>3</v>
      </c>
      <c r="K459" s="3" t="str" cm="1">
        <f t="array" ref="K459">_xlfn.IFS(J459&lt;=5, "0-5", J459&lt;=10, "6-10", J459&lt;=15, "11-15", J459&lt;=20, "16-20", J459&gt;20, "21+")</f>
        <v>0-5</v>
      </c>
      <c r="L459" s="2">
        <v>50</v>
      </c>
      <c r="M459" s="4" t="str">
        <f t="shared" si="234"/>
        <v>50</v>
      </c>
      <c r="N459" s="4">
        <f t="shared" si="231"/>
        <v>50</v>
      </c>
      <c r="O459" s="5">
        <v>2.2000000000000002</v>
      </c>
      <c r="P459">
        <v>0</v>
      </c>
      <c r="Q459" t="s">
        <v>54</v>
      </c>
      <c r="R459" s="1">
        <v>0.77</v>
      </c>
      <c r="S459" s="6">
        <f>R459</f>
        <v>0.77</v>
      </c>
    </row>
    <row r="460" spans="1:19" ht="13.5" x14ac:dyDescent="0.25">
      <c r="A460" t="s">
        <v>1125</v>
      </c>
      <c r="B460" t="s">
        <v>1126</v>
      </c>
      <c r="C460" t="str">
        <f t="shared" si="233"/>
        <v>David Sanchez</v>
      </c>
      <c r="D460" t="s">
        <v>32</v>
      </c>
      <c r="E460" s="3" t="str">
        <f t="shared" si="230"/>
        <v>Male</v>
      </c>
      <c r="F460" s="5">
        <v>40</v>
      </c>
      <c r="G460" t="s">
        <v>125</v>
      </c>
      <c r="H460" t="s">
        <v>39</v>
      </c>
      <c r="I460" t="s">
        <v>284</v>
      </c>
      <c r="J460" s="5">
        <v>1</v>
      </c>
      <c r="K460" s="3" t="str" cm="1">
        <f t="array" ref="K460">_xlfn.IFS(J460&lt;=5, "0-5", J460&lt;=10, "6-10", J460&lt;=15, "11-15", J460&lt;=20, "16-20", J460&gt;20, "21+")</f>
        <v>0-5</v>
      </c>
      <c r="L460">
        <v>100</v>
      </c>
      <c r="M460" s="4">
        <f t="shared" ref="M460:M461" si="235">L460</f>
        <v>100</v>
      </c>
      <c r="N460" s="4">
        <f t="shared" si="231"/>
        <v>100</v>
      </c>
      <c r="O460" s="5">
        <v>2.1</v>
      </c>
      <c r="P460">
        <v>1</v>
      </c>
      <c r="Q460" t="s">
        <v>28</v>
      </c>
      <c r="S460" s="7"/>
    </row>
    <row r="461" spans="1:19" ht="13.5" x14ac:dyDescent="0.25">
      <c r="A461" t="s">
        <v>1127</v>
      </c>
      <c r="B461" t="s">
        <v>1128</v>
      </c>
      <c r="C461" t="str">
        <f t="shared" si="233"/>
        <v>Tiffany Bowman</v>
      </c>
      <c r="D461" t="s">
        <v>304</v>
      </c>
      <c r="E461" s="3" t="str">
        <f t="shared" si="230"/>
        <v>Female</v>
      </c>
      <c r="F461" s="5">
        <v>27</v>
      </c>
      <c r="G461" t="s">
        <v>117</v>
      </c>
      <c r="H461" t="s">
        <v>118</v>
      </c>
      <c r="I461" t="s">
        <v>291</v>
      </c>
      <c r="J461" s="5">
        <v>1</v>
      </c>
      <c r="K461" s="3" t="str" cm="1">
        <f t="array" ref="K461">_xlfn.IFS(J461&lt;=5, "0-5", J461&lt;=10, "6-10", J461&lt;=15, "11-15", J461&lt;=20, "16-20", J461&gt;20, "21+")</f>
        <v>0-5</v>
      </c>
      <c r="L461">
        <v>30</v>
      </c>
      <c r="M461" s="4">
        <f t="shared" si="235"/>
        <v>30</v>
      </c>
      <c r="N461" s="4">
        <f t="shared" si="231"/>
        <v>30</v>
      </c>
      <c r="O461" s="5">
        <v>1.7</v>
      </c>
      <c r="P461" t="b">
        <v>0</v>
      </c>
      <c r="Q461" t="s">
        <v>54</v>
      </c>
      <c r="R461" s="1">
        <v>0.65</v>
      </c>
      <c r="S461" s="6">
        <f t="shared" ref="S461:S465" si="236">R461</f>
        <v>0.65</v>
      </c>
    </row>
    <row r="462" spans="1:19" ht="13.5" x14ac:dyDescent="0.25">
      <c r="A462" t="s">
        <v>1129</v>
      </c>
      <c r="B462" t="s">
        <v>1130</v>
      </c>
      <c r="C462" t="str">
        <f t="shared" si="233"/>
        <v>Jesus Quinn</v>
      </c>
      <c r="D462" t="s">
        <v>311</v>
      </c>
      <c r="E462" s="3" t="str">
        <f t="shared" si="230"/>
        <v>Male</v>
      </c>
      <c r="F462" s="5">
        <v>53</v>
      </c>
      <c r="G462" t="s">
        <v>132</v>
      </c>
      <c r="H462" t="s">
        <v>133</v>
      </c>
      <c r="I462" t="s">
        <v>285</v>
      </c>
      <c r="J462" s="5">
        <v>35</v>
      </c>
      <c r="K462" s="3" t="str" cm="1">
        <f t="array" ref="K462">_xlfn.IFS(J462&lt;=5, "0-5", J462&lt;=10, "6-10", J462&lt;=15, "11-15", J462&lt;=20, "16-20", J462&gt;20, "21+")</f>
        <v>21+</v>
      </c>
      <c r="N462" s="4" t="str">
        <f t="shared" si="231"/>
        <v>NA</v>
      </c>
      <c r="O462" s="5">
        <v>5</v>
      </c>
      <c r="P462">
        <v>1</v>
      </c>
      <c r="Q462" t="s">
        <v>28</v>
      </c>
      <c r="R462" s="1">
        <v>0.62</v>
      </c>
      <c r="S462" s="6">
        <f t="shared" si="236"/>
        <v>0.62</v>
      </c>
    </row>
    <row r="463" spans="1:19" ht="13.5" x14ac:dyDescent="0.25">
      <c r="A463" t="s">
        <v>1131</v>
      </c>
      <c r="B463" t="s">
        <v>1132</v>
      </c>
      <c r="C463" t="str">
        <f>_xlfn.TEXTAFTER(B463,". ",)</f>
        <v>Danny Morris DDS</v>
      </c>
      <c r="D463" t="s">
        <v>31</v>
      </c>
      <c r="E463" s="3" t="str">
        <f t="shared" si="230"/>
        <v>Male</v>
      </c>
      <c r="F463" s="5">
        <v>20</v>
      </c>
      <c r="G463" t="s">
        <v>67</v>
      </c>
      <c r="H463" t="s">
        <v>68</v>
      </c>
      <c r="I463" t="s">
        <v>291</v>
      </c>
      <c r="J463" s="5">
        <v>1</v>
      </c>
      <c r="K463" s="3" t="str" cm="1">
        <f t="array" ref="K463">_xlfn.IFS(J463&lt;=5, "0-5", J463&lt;=10, "6-10", J463&lt;=15, "11-15", J463&lt;=20, "16-20", J463&gt;20, "21+")</f>
        <v>0-5</v>
      </c>
      <c r="L463">
        <v>50</v>
      </c>
      <c r="M463" s="4">
        <f>L463</f>
        <v>50</v>
      </c>
      <c r="N463" s="4">
        <f t="shared" si="231"/>
        <v>50</v>
      </c>
      <c r="O463" s="5">
        <v>2.9</v>
      </c>
      <c r="P463" t="s">
        <v>81</v>
      </c>
      <c r="Q463" t="s">
        <v>54</v>
      </c>
      <c r="R463" s="1">
        <v>0.81</v>
      </c>
      <c r="S463" s="6">
        <f t="shared" si="236"/>
        <v>0.81</v>
      </c>
    </row>
    <row r="464" spans="1:19" ht="13.5" x14ac:dyDescent="0.25">
      <c r="A464" t="s">
        <v>1133</v>
      </c>
      <c r="B464" t="s">
        <v>1134</v>
      </c>
      <c r="C464" t="str">
        <f t="shared" ref="C464:C527" si="237">B464</f>
        <v>Nicole York</v>
      </c>
      <c r="D464" t="s">
        <v>304</v>
      </c>
      <c r="E464" s="3" t="str">
        <f t="shared" si="230"/>
        <v>Female</v>
      </c>
      <c r="G464" t="s">
        <v>88</v>
      </c>
      <c r="H464" t="s">
        <v>89</v>
      </c>
      <c r="I464" t="s">
        <v>283</v>
      </c>
      <c r="J464" s="5">
        <v>12</v>
      </c>
      <c r="K464" s="3" t="str" cm="1">
        <f t="array" ref="K464">_xlfn.IFS(J464&lt;=5, "0-5", J464&lt;=10, "6-10", J464&lt;=15, "11-15", J464&lt;=20, "16-20", J464&gt;20, "21+")</f>
        <v>11-15</v>
      </c>
      <c r="L464" s="2">
        <v>50</v>
      </c>
      <c r="M464" s="4" t="str">
        <f>SUBSTITUTE(L464, "$","")</f>
        <v>50</v>
      </c>
      <c r="N464" s="4">
        <f t="shared" si="231"/>
        <v>50</v>
      </c>
      <c r="O464" s="5">
        <v>4.0999999999999996</v>
      </c>
      <c r="P464" t="s">
        <v>57</v>
      </c>
      <c r="Q464" t="s">
        <v>28</v>
      </c>
      <c r="R464" s="1">
        <v>0.62</v>
      </c>
      <c r="S464" s="6">
        <f t="shared" si="236"/>
        <v>0.62</v>
      </c>
    </row>
    <row r="465" spans="1:19" ht="13.5" x14ac:dyDescent="0.25">
      <c r="A465" t="s">
        <v>1135</v>
      </c>
      <c r="B465" t="s">
        <v>1136</v>
      </c>
      <c r="C465" t="str">
        <f t="shared" si="237"/>
        <v>John Mathis</v>
      </c>
      <c r="D465" t="s">
        <v>31</v>
      </c>
      <c r="E465" s="3" t="str">
        <f t="shared" si="230"/>
        <v>Male</v>
      </c>
      <c r="F465" s="5">
        <v>26</v>
      </c>
      <c r="G465" t="s">
        <v>44</v>
      </c>
      <c r="H465" t="s">
        <v>24</v>
      </c>
      <c r="I465" t="s">
        <v>290</v>
      </c>
      <c r="J465" s="5">
        <v>8</v>
      </c>
      <c r="K465" s="3" t="str" cm="1">
        <f t="array" ref="K465">_xlfn.IFS(J465&lt;=5, "0-5", J465&lt;=10, "6-10", J465&lt;=15, "11-15", J465&lt;=20, "16-20", J465&gt;20, "21+")</f>
        <v>6-10</v>
      </c>
      <c r="L465">
        <v>40</v>
      </c>
      <c r="M465" s="4">
        <f>L465</f>
        <v>40</v>
      </c>
      <c r="N465" s="4">
        <f t="shared" si="231"/>
        <v>40</v>
      </c>
      <c r="O465" s="5">
        <v>4.9000000000000004</v>
      </c>
      <c r="P465" t="s">
        <v>64</v>
      </c>
      <c r="Q465" t="s">
        <v>54</v>
      </c>
      <c r="R465" s="1">
        <v>0.87</v>
      </c>
      <c r="S465" s="6">
        <f t="shared" si="236"/>
        <v>0.87</v>
      </c>
    </row>
    <row r="466" spans="1:19" ht="13.5" x14ac:dyDescent="0.25">
      <c r="A466" t="s">
        <v>1137</v>
      </c>
      <c r="B466" t="s">
        <v>1138</v>
      </c>
      <c r="C466" t="str">
        <f t="shared" si="237"/>
        <v>Julie Barnett</v>
      </c>
      <c r="D466" t="s">
        <v>304</v>
      </c>
      <c r="E466" s="3" t="str">
        <f t="shared" si="230"/>
        <v>Female</v>
      </c>
      <c r="F466" s="5">
        <v>49</v>
      </c>
      <c r="G466" t="s">
        <v>47</v>
      </c>
      <c r="H466" t="s">
        <v>48</v>
      </c>
      <c r="I466" t="s">
        <v>284</v>
      </c>
      <c r="J466" s="5">
        <v>13</v>
      </c>
      <c r="K466" s="3" t="str" cm="1">
        <f t="array" ref="K466">_xlfn.IFS(J466&lt;=5, "0-5", J466&lt;=10, "6-10", J466&lt;=15, "11-15", J466&lt;=20, "16-20", J466&gt;20, "21+")</f>
        <v>11-15</v>
      </c>
      <c r="L466" s="2">
        <v>100</v>
      </c>
      <c r="M466" s="4" t="str">
        <f>SUBSTITUTE(L466, "$","")</f>
        <v>100</v>
      </c>
      <c r="N466" s="4">
        <f t="shared" si="231"/>
        <v>100</v>
      </c>
      <c r="O466" s="5">
        <v>2.5</v>
      </c>
      <c r="P466" t="b">
        <v>0</v>
      </c>
      <c r="Q466" t="s">
        <v>54</v>
      </c>
      <c r="S466" s="7"/>
    </row>
    <row r="467" spans="1:19" ht="13.5" x14ac:dyDescent="0.25">
      <c r="A467" t="s">
        <v>1139</v>
      </c>
      <c r="B467" t="s">
        <v>1140</v>
      </c>
      <c r="C467" t="str">
        <f t="shared" si="237"/>
        <v>Jasmine Harris</v>
      </c>
      <c r="D467" t="s">
        <v>301</v>
      </c>
      <c r="E467" s="3" t="str">
        <f t="shared" si="230"/>
        <v>Female</v>
      </c>
      <c r="F467" s="5">
        <v>20</v>
      </c>
      <c r="G467" t="s">
        <v>117</v>
      </c>
      <c r="H467" t="s">
        <v>118</v>
      </c>
      <c r="I467" t="s">
        <v>291</v>
      </c>
      <c r="J467" s="5">
        <v>0</v>
      </c>
      <c r="K467" s="3" t="str" cm="1">
        <f t="array" ref="K467">_xlfn.IFS(J467&lt;=5, "0-5", J467&lt;=10, "6-10", J467&lt;=15, "11-15", J467&lt;=20, "16-20", J467&gt;20, "21+")</f>
        <v>0-5</v>
      </c>
      <c r="L467" t="s">
        <v>72</v>
      </c>
      <c r="M467" s="4" t="str">
        <f t="shared" ref="M467" si="238">_xlfn.TEXTAFTER(L467, " ")</f>
        <v>30</v>
      </c>
      <c r="N467" s="4">
        <f t="shared" si="231"/>
        <v>30</v>
      </c>
      <c r="O467" s="5">
        <v>0</v>
      </c>
      <c r="P467">
        <v>1</v>
      </c>
      <c r="Q467" t="s">
        <v>28</v>
      </c>
      <c r="R467">
        <v>76</v>
      </c>
      <c r="S467" s="6">
        <f t="shared" ref="S467:S468" si="239">R467/100</f>
        <v>0.76</v>
      </c>
    </row>
    <row r="468" spans="1:19" ht="13.5" x14ac:dyDescent="0.25">
      <c r="A468" t="s">
        <v>1141</v>
      </c>
      <c r="B468" t="s">
        <v>1142</v>
      </c>
      <c r="C468" t="str">
        <f t="shared" si="237"/>
        <v>Mary Henry</v>
      </c>
      <c r="D468" t="s">
        <v>304</v>
      </c>
      <c r="E468" s="3" t="str">
        <f t="shared" si="230"/>
        <v>Female</v>
      </c>
      <c r="F468" s="5">
        <v>39</v>
      </c>
      <c r="G468" t="s">
        <v>165</v>
      </c>
      <c r="H468" t="s">
        <v>166</v>
      </c>
      <c r="I468" t="s">
        <v>292</v>
      </c>
      <c r="J468" s="5">
        <v>11</v>
      </c>
      <c r="K468" s="3" t="str" cm="1">
        <f t="array" ref="K468">_xlfn.IFS(J468&lt;=5, "0-5", J468&lt;=10, "6-10", J468&lt;=15, "11-15", J468&lt;=20, "16-20", J468&gt;20, "21+")</f>
        <v>11-15</v>
      </c>
      <c r="L468">
        <v>100</v>
      </c>
      <c r="M468" s="4">
        <f t="shared" ref="M468:M469" si="240">L468</f>
        <v>100</v>
      </c>
      <c r="N468" s="4">
        <f t="shared" si="231"/>
        <v>100</v>
      </c>
      <c r="O468" s="5">
        <v>2.8</v>
      </c>
      <c r="R468">
        <v>70</v>
      </c>
      <c r="S468" s="6">
        <f t="shared" si="239"/>
        <v>0.7</v>
      </c>
    </row>
    <row r="469" spans="1:19" ht="13.5" x14ac:dyDescent="0.25">
      <c r="A469" t="s">
        <v>1143</v>
      </c>
      <c r="B469" t="s">
        <v>1144</v>
      </c>
      <c r="C469" t="str">
        <f t="shared" si="237"/>
        <v>Judith Riggs</v>
      </c>
      <c r="D469" t="s">
        <v>301</v>
      </c>
      <c r="E469" s="3" t="str">
        <f t="shared" si="230"/>
        <v>Female</v>
      </c>
      <c r="F469" s="5">
        <v>41</v>
      </c>
      <c r="G469" t="s">
        <v>165</v>
      </c>
      <c r="H469" t="s">
        <v>166</v>
      </c>
      <c r="I469" t="s">
        <v>284</v>
      </c>
      <c r="J469" s="5">
        <v>19</v>
      </c>
      <c r="K469" s="3" t="str" cm="1">
        <f t="array" ref="K469">_xlfn.IFS(J469&lt;=5, "0-5", J469&lt;=10, "6-10", J469&lt;=15, "11-15", J469&lt;=20, "16-20", J469&gt;20, "21+")</f>
        <v>16-20</v>
      </c>
      <c r="L469">
        <v>100</v>
      </c>
      <c r="M469" s="4">
        <f t="shared" si="240"/>
        <v>100</v>
      </c>
      <c r="N469" s="4">
        <f t="shared" si="231"/>
        <v>100</v>
      </c>
      <c r="O469" s="5">
        <v>3.8</v>
      </c>
      <c r="P469" t="s">
        <v>27</v>
      </c>
      <c r="Q469" t="s">
        <v>28</v>
      </c>
      <c r="R469" s="1">
        <v>0.71</v>
      </c>
      <c r="S469" s="6">
        <f t="shared" ref="S469:S470" si="241">R469</f>
        <v>0.71</v>
      </c>
    </row>
    <row r="470" spans="1:19" ht="13.5" x14ac:dyDescent="0.25">
      <c r="A470" t="s">
        <v>1145</v>
      </c>
      <c r="B470" t="s">
        <v>1146</v>
      </c>
      <c r="C470" t="str">
        <f t="shared" si="237"/>
        <v>Justin Ruiz</v>
      </c>
      <c r="D470" t="s">
        <v>32</v>
      </c>
      <c r="E470" s="3" t="str">
        <f t="shared" si="230"/>
        <v>Male</v>
      </c>
      <c r="F470" s="5">
        <v>59</v>
      </c>
      <c r="G470" t="s">
        <v>125</v>
      </c>
      <c r="H470" t="s">
        <v>39</v>
      </c>
      <c r="I470" t="s">
        <v>285</v>
      </c>
      <c r="J470" s="5">
        <v>30</v>
      </c>
      <c r="K470" s="3" t="str" cm="1">
        <f t="array" ref="K470">_xlfn.IFS(J470&lt;=5, "0-5", J470&lt;=10, "6-10", J470&lt;=15, "11-15", J470&lt;=20, "16-20", J470&gt;20, "21+")</f>
        <v>21+</v>
      </c>
      <c r="L470" t="s">
        <v>72</v>
      </c>
      <c r="M470" s="4" t="str">
        <f t="shared" ref="M470" si="242">_xlfn.TEXTAFTER(L470, " ")</f>
        <v>30</v>
      </c>
      <c r="N470" s="4">
        <f t="shared" si="231"/>
        <v>30</v>
      </c>
      <c r="O470" s="5">
        <v>4.3</v>
      </c>
      <c r="P470">
        <v>1</v>
      </c>
      <c r="Q470" t="s">
        <v>28</v>
      </c>
      <c r="R470" s="1">
        <v>0.83</v>
      </c>
      <c r="S470" s="6">
        <f t="shared" si="241"/>
        <v>0.83</v>
      </c>
    </row>
    <row r="471" spans="1:19" ht="13.5" x14ac:dyDescent="0.25">
      <c r="A471" t="s">
        <v>1147</v>
      </c>
      <c r="B471" t="s">
        <v>1148</v>
      </c>
      <c r="C471" t="str">
        <f t="shared" si="237"/>
        <v>Jennifer Sullivan</v>
      </c>
      <c r="D471" t="s">
        <v>22</v>
      </c>
      <c r="E471" s="3" t="str">
        <f t="shared" si="230"/>
        <v>Female</v>
      </c>
      <c r="F471" s="5">
        <v>45</v>
      </c>
      <c r="G471" t="s">
        <v>38</v>
      </c>
      <c r="H471" t="s">
        <v>39</v>
      </c>
      <c r="I471" t="s">
        <v>292</v>
      </c>
      <c r="J471" s="5">
        <v>8</v>
      </c>
      <c r="K471" s="3" t="str" cm="1">
        <f t="array" ref="K471">_xlfn.IFS(J471&lt;=5, "0-5", J471&lt;=10, "6-10", J471&lt;=15, "11-15", J471&lt;=20, "16-20", J471&gt;20, "21+")</f>
        <v>6-10</v>
      </c>
      <c r="L471">
        <v>40</v>
      </c>
      <c r="M471" s="4">
        <f t="shared" ref="M471:M473" si="243">L471</f>
        <v>40</v>
      </c>
      <c r="N471" s="4">
        <f t="shared" si="231"/>
        <v>40</v>
      </c>
      <c r="O471" s="5">
        <v>0</v>
      </c>
      <c r="P471">
        <v>0</v>
      </c>
      <c r="Q471" t="s">
        <v>54</v>
      </c>
      <c r="R471">
        <v>78</v>
      </c>
      <c r="S471" s="6">
        <f>R471/100</f>
        <v>0.78</v>
      </c>
    </row>
    <row r="472" spans="1:19" ht="13.5" x14ac:dyDescent="0.25">
      <c r="A472" t="s">
        <v>1149</v>
      </c>
      <c r="B472" t="s">
        <v>1150</v>
      </c>
      <c r="C472" t="str">
        <f t="shared" si="237"/>
        <v>Jesse Moran</v>
      </c>
      <c r="D472" t="s">
        <v>311</v>
      </c>
      <c r="E472" s="3" t="str">
        <f t="shared" si="230"/>
        <v>Male</v>
      </c>
      <c r="F472" s="5">
        <v>22</v>
      </c>
      <c r="G472" t="s">
        <v>104</v>
      </c>
      <c r="H472" t="s">
        <v>105</v>
      </c>
      <c r="I472" t="s">
        <v>288</v>
      </c>
      <c r="J472" s="5">
        <v>0</v>
      </c>
      <c r="K472" s="3" t="str" cm="1">
        <f t="array" ref="K472">_xlfn.IFS(J472&lt;=5, "0-5", J472&lt;=10, "6-10", J472&lt;=15, "11-15", J472&lt;=20, "16-20", J472&gt;20, "21+")</f>
        <v>0-5</v>
      </c>
      <c r="L472">
        <v>40</v>
      </c>
      <c r="M472" s="4">
        <f t="shared" si="243"/>
        <v>40</v>
      </c>
      <c r="N472" s="4">
        <f t="shared" si="231"/>
        <v>40</v>
      </c>
      <c r="O472" s="5">
        <v>1.3</v>
      </c>
      <c r="P472">
        <v>1</v>
      </c>
      <c r="Q472" t="s">
        <v>28</v>
      </c>
      <c r="R472" s="1">
        <v>0.78</v>
      </c>
      <c r="S472" s="6">
        <f t="shared" ref="S472:S473" si="244">R472</f>
        <v>0.78</v>
      </c>
    </row>
    <row r="473" spans="1:19" ht="13.5" x14ac:dyDescent="0.25">
      <c r="A473" t="s">
        <v>1151</v>
      </c>
      <c r="B473" t="s">
        <v>1152</v>
      </c>
      <c r="C473" t="str">
        <f t="shared" si="237"/>
        <v>Monica Smith</v>
      </c>
      <c r="D473" t="s">
        <v>37</v>
      </c>
      <c r="E473" s="3" t="str">
        <f t="shared" si="230"/>
        <v>Female</v>
      </c>
      <c r="F473" s="5">
        <v>48</v>
      </c>
      <c r="G473" t="s">
        <v>146</v>
      </c>
      <c r="H473" t="s">
        <v>147</v>
      </c>
      <c r="I473" t="s">
        <v>285</v>
      </c>
      <c r="J473" s="5">
        <v>7</v>
      </c>
      <c r="K473" s="3" t="str" cm="1">
        <f t="array" ref="K473">_xlfn.IFS(J473&lt;=5, "0-5", J473&lt;=10, "6-10", J473&lt;=15, "11-15", J473&lt;=20, "16-20", J473&gt;20, "21+")</f>
        <v>6-10</v>
      </c>
      <c r="L473">
        <v>50</v>
      </c>
      <c r="M473" s="4">
        <f t="shared" si="243"/>
        <v>50</v>
      </c>
      <c r="N473" s="4">
        <f t="shared" si="231"/>
        <v>50</v>
      </c>
      <c r="O473" s="5">
        <v>4.7</v>
      </c>
      <c r="P473" t="s">
        <v>57</v>
      </c>
      <c r="Q473" t="s">
        <v>28</v>
      </c>
      <c r="R473" s="1">
        <v>0.6</v>
      </c>
      <c r="S473" s="6">
        <f t="shared" si="244"/>
        <v>0.6</v>
      </c>
    </row>
    <row r="474" spans="1:19" ht="13.5" x14ac:dyDescent="0.25">
      <c r="A474" t="s">
        <v>1153</v>
      </c>
      <c r="B474" t="s">
        <v>1154</v>
      </c>
      <c r="C474" t="str">
        <f t="shared" si="237"/>
        <v>Ian May</v>
      </c>
      <c r="D474" t="s">
        <v>311</v>
      </c>
      <c r="E474" s="3" t="str">
        <f t="shared" si="230"/>
        <v>Male</v>
      </c>
      <c r="F474" s="5">
        <v>36</v>
      </c>
      <c r="G474" t="s">
        <v>132</v>
      </c>
      <c r="H474" t="s">
        <v>133</v>
      </c>
      <c r="I474" t="s">
        <v>292</v>
      </c>
      <c r="J474" s="5">
        <v>11</v>
      </c>
      <c r="K474" s="3" t="str" cm="1">
        <f t="array" ref="K474">_xlfn.IFS(J474&lt;=5, "0-5", J474&lt;=10, "6-10", J474&lt;=15, "11-15", J474&lt;=20, "16-20", J474&gt;20, "21+")</f>
        <v>11-15</v>
      </c>
      <c r="L474" s="2">
        <v>40</v>
      </c>
      <c r="M474" s="4" t="str">
        <f>SUBSTITUTE(L474, "$","")</f>
        <v>40</v>
      </c>
      <c r="N474" s="4">
        <f t="shared" si="231"/>
        <v>40</v>
      </c>
      <c r="O474" s="5">
        <v>1.3</v>
      </c>
      <c r="P474" t="b">
        <v>1</v>
      </c>
      <c r="Q474" t="s">
        <v>28</v>
      </c>
      <c r="S474" s="7"/>
    </row>
    <row r="475" spans="1:19" ht="13.5" x14ac:dyDescent="0.25">
      <c r="A475" t="s">
        <v>1155</v>
      </c>
      <c r="B475" t="s">
        <v>1156</v>
      </c>
      <c r="C475" t="str">
        <f t="shared" si="237"/>
        <v>Kayla Meyers</v>
      </c>
      <c r="D475" t="s">
        <v>21</v>
      </c>
      <c r="E475" s="3" t="str">
        <f t="shared" si="230"/>
        <v>Female</v>
      </c>
      <c r="F475" s="5">
        <v>57</v>
      </c>
      <c r="G475" t="s">
        <v>165</v>
      </c>
      <c r="H475" t="s">
        <v>166</v>
      </c>
      <c r="I475" t="s">
        <v>292</v>
      </c>
      <c r="K475" s="3" t="str" cm="1">
        <f t="array" ref="K475">_xlfn.IFS(J475&lt;=5, "0-5", J475&lt;=10, "6-10", J475&lt;=15, "11-15", J475&lt;=20, "16-20", J475&gt;20, "21+")</f>
        <v>0-5</v>
      </c>
      <c r="L475">
        <v>75</v>
      </c>
      <c r="M475" s="4">
        <f>L475</f>
        <v>75</v>
      </c>
      <c r="N475" s="4">
        <f t="shared" si="231"/>
        <v>75</v>
      </c>
      <c r="O475" s="5">
        <v>4.8</v>
      </c>
      <c r="P475">
        <v>1</v>
      </c>
      <c r="Q475" t="s">
        <v>28</v>
      </c>
      <c r="S475" s="7"/>
    </row>
    <row r="476" spans="1:19" ht="13.5" x14ac:dyDescent="0.25">
      <c r="A476" t="s">
        <v>1157</v>
      </c>
      <c r="B476" t="s">
        <v>1158</v>
      </c>
      <c r="C476" t="str">
        <f t="shared" si="237"/>
        <v>John Bray</v>
      </c>
      <c r="D476" t="s">
        <v>311</v>
      </c>
      <c r="E476" s="3" t="str">
        <f t="shared" si="230"/>
        <v>Male</v>
      </c>
      <c r="F476" s="5">
        <v>42</v>
      </c>
      <c r="G476" t="s">
        <v>183</v>
      </c>
      <c r="H476" t="s">
        <v>39</v>
      </c>
      <c r="I476" t="s">
        <v>286</v>
      </c>
      <c r="J476" s="5">
        <v>14</v>
      </c>
      <c r="K476" s="3" t="str" cm="1">
        <f t="array" ref="K476">_xlfn.IFS(J476&lt;=5, "0-5", J476&lt;=10, "6-10", J476&lt;=15, "11-15", J476&lt;=20, "16-20", J476&gt;20, "21+")</f>
        <v>11-15</v>
      </c>
      <c r="L476" s="2">
        <v>30</v>
      </c>
      <c r="M476" s="4" t="str">
        <f t="shared" ref="M476:M477" si="245">SUBSTITUTE(L476, "$","")</f>
        <v>30</v>
      </c>
      <c r="N476" s="4">
        <f t="shared" si="231"/>
        <v>30</v>
      </c>
      <c r="O476" s="5">
        <v>1.3</v>
      </c>
      <c r="P476">
        <v>0</v>
      </c>
      <c r="Q476" t="s">
        <v>54</v>
      </c>
      <c r="R476" s="1">
        <v>0.94</v>
      </c>
      <c r="S476" s="6">
        <f>R476</f>
        <v>0.94</v>
      </c>
    </row>
    <row r="477" spans="1:19" ht="13.5" x14ac:dyDescent="0.25">
      <c r="A477" t="s">
        <v>1159</v>
      </c>
      <c r="B477" t="s">
        <v>1160</v>
      </c>
      <c r="C477" t="str">
        <f t="shared" si="237"/>
        <v>James Smith</v>
      </c>
      <c r="D477" t="s">
        <v>43</v>
      </c>
      <c r="E477" s="3" t="str">
        <f t="shared" si="230"/>
        <v>Male</v>
      </c>
      <c r="F477" s="5">
        <v>31</v>
      </c>
      <c r="G477" t="s">
        <v>104</v>
      </c>
      <c r="H477" t="s">
        <v>105</v>
      </c>
      <c r="I477" t="s">
        <v>288</v>
      </c>
      <c r="J477" s="5">
        <v>11</v>
      </c>
      <c r="K477" s="3" t="str" cm="1">
        <f t="array" ref="K477">_xlfn.IFS(J477&lt;=5, "0-5", J477&lt;=10, "6-10", J477&lt;=15, "11-15", J477&lt;=20, "16-20", J477&gt;20, "21+")</f>
        <v>11-15</v>
      </c>
      <c r="L477" s="2">
        <v>50</v>
      </c>
      <c r="M477" s="4" t="str">
        <f t="shared" si="245"/>
        <v>50</v>
      </c>
      <c r="N477" s="4">
        <f t="shared" si="231"/>
        <v>50</v>
      </c>
      <c r="O477" s="5">
        <v>4.3</v>
      </c>
      <c r="P477">
        <v>0</v>
      </c>
      <c r="Q477" t="s">
        <v>54</v>
      </c>
      <c r="R477">
        <v>62</v>
      </c>
      <c r="S477" s="6">
        <f>R477/100</f>
        <v>0.62</v>
      </c>
    </row>
    <row r="478" spans="1:19" ht="13.5" x14ac:dyDescent="0.25">
      <c r="A478" t="s">
        <v>1161</v>
      </c>
      <c r="B478" t="s">
        <v>1162</v>
      </c>
      <c r="C478" t="str">
        <f t="shared" si="237"/>
        <v>Mark Duncan</v>
      </c>
      <c r="D478" t="s">
        <v>328</v>
      </c>
      <c r="E478" s="3" t="str">
        <f t="shared" si="230"/>
        <v>Male</v>
      </c>
      <c r="F478" s="5">
        <v>52</v>
      </c>
      <c r="G478" t="s">
        <v>84</v>
      </c>
      <c r="H478" t="s">
        <v>24</v>
      </c>
      <c r="I478" t="s">
        <v>288</v>
      </c>
      <c r="J478" s="5">
        <v>31</v>
      </c>
      <c r="K478" s="3" t="str" cm="1">
        <f t="array" ref="K478">_xlfn.IFS(J478&lt;=5, "0-5", J478&lt;=10, "6-10", J478&lt;=15, "11-15", J478&lt;=20, "16-20", J478&gt;20, "21+")</f>
        <v>21+</v>
      </c>
      <c r="L478">
        <v>30</v>
      </c>
      <c r="M478" s="4">
        <f>L478</f>
        <v>30</v>
      </c>
      <c r="N478" s="4">
        <f t="shared" si="231"/>
        <v>30</v>
      </c>
      <c r="P478">
        <v>1</v>
      </c>
      <c r="Q478" t="s">
        <v>28</v>
      </c>
      <c r="S478" s="7"/>
    </row>
    <row r="479" spans="1:19" ht="13.5" x14ac:dyDescent="0.25">
      <c r="A479" t="s">
        <v>1163</v>
      </c>
      <c r="B479" t="s">
        <v>1164</v>
      </c>
      <c r="C479" t="str">
        <f t="shared" si="237"/>
        <v>Matthew Gay</v>
      </c>
      <c r="D479" t="s">
        <v>328</v>
      </c>
      <c r="E479" s="3" t="str">
        <f t="shared" si="230"/>
        <v>Male</v>
      </c>
      <c r="F479" s="5">
        <v>56</v>
      </c>
      <c r="G479" t="s">
        <v>52</v>
      </c>
      <c r="H479" t="s">
        <v>53</v>
      </c>
      <c r="I479" t="s">
        <v>283</v>
      </c>
      <c r="J479" s="5">
        <v>16</v>
      </c>
      <c r="K479" s="3" t="str" cm="1">
        <f t="array" ref="K479">_xlfn.IFS(J479&lt;=5, "0-5", J479&lt;=10, "6-10", J479&lt;=15, "11-15", J479&lt;=20, "16-20", J479&gt;20, "21+")</f>
        <v>16-20</v>
      </c>
      <c r="L479" t="s">
        <v>72</v>
      </c>
      <c r="M479" s="4" t="str">
        <f t="shared" ref="M479" si="246">_xlfn.TEXTAFTER(L479, " ")</f>
        <v>30</v>
      </c>
      <c r="N479" s="4">
        <f t="shared" si="231"/>
        <v>30</v>
      </c>
      <c r="O479" s="5">
        <v>0</v>
      </c>
      <c r="P479" t="s">
        <v>27</v>
      </c>
      <c r="Q479" t="s">
        <v>28</v>
      </c>
      <c r="S479" s="7"/>
    </row>
    <row r="480" spans="1:19" ht="13.5" x14ac:dyDescent="0.25">
      <c r="A480" t="s">
        <v>1165</v>
      </c>
      <c r="B480" t="s">
        <v>1166</v>
      </c>
      <c r="C480" t="str">
        <f t="shared" si="237"/>
        <v>Cheryl Freeman</v>
      </c>
      <c r="D480" t="s">
        <v>22</v>
      </c>
      <c r="E480" s="3" t="str">
        <f t="shared" si="230"/>
        <v>Female</v>
      </c>
      <c r="F480" s="5">
        <v>24</v>
      </c>
      <c r="G480" t="s">
        <v>52</v>
      </c>
      <c r="H480" t="s">
        <v>53</v>
      </c>
      <c r="I480" t="s">
        <v>283</v>
      </c>
      <c r="J480" s="5">
        <v>6</v>
      </c>
      <c r="K480" s="3" t="str" cm="1">
        <f t="array" ref="K480">_xlfn.IFS(J480&lt;=5, "0-5", J480&lt;=10, "6-10", J480&lt;=15, "11-15", J480&lt;=20, "16-20", J480&gt;20, "21+")</f>
        <v>6-10</v>
      </c>
      <c r="L480">
        <v>30</v>
      </c>
      <c r="M480" s="4">
        <f t="shared" ref="M480:M483" si="247">L480</f>
        <v>30</v>
      </c>
      <c r="N480" s="4">
        <f t="shared" si="231"/>
        <v>30</v>
      </c>
      <c r="O480" s="5">
        <v>0</v>
      </c>
      <c r="P480" t="s">
        <v>27</v>
      </c>
      <c r="Q480" t="s">
        <v>28</v>
      </c>
      <c r="R480" s="1">
        <v>0.84</v>
      </c>
      <c r="S480" s="6">
        <f>R480</f>
        <v>0.84</v>
      </c>
    </row>
    <row r="481" spans="1:19" ht="13.5" x14ac:dyDescent="0.25">
      <c r="A481" t="s">
        <v>1167</v>
      </c>
      <c r="B481" t="s">
        <v>1168</v>
      </c>
      <c r="C481" t="str">
        <f t="shared" si="237"/>
        <v>Patrick Welch</v>
      </c>
      <c r="D481" t="s">
        <v>31</v>
      </c>
      <c r="E481" s="3" t="str">
        <f t="shared" si="230"/>
        <v>Male</v>
      </c>
      <c r="F481" s="5">
        <v>48</v>
      </c>
      <c r="G481" t="s">
        <v>125</v>
      </c>
      <c r="H481" t="s">
        <v>39</v>
      </c>
      <c r="I481" t="s">
        <v>283</v>
      </c>
      <c r="J481" s="5">
        <v>21</v>
      </c>
      <c r="K481" s="3" t="str" cm="1">
        <f t="array" ref="K481">_xlfn.IFS(J481&lt;=5, "0-5", J481&lt;=10, "6-10", J481&lt;=15, "11-15", J481&lt;=20, "16-20", J481&gt;20, "21+")</f>
        <v>21+</v>
      </c>
      <c r="L481">
        <v>75</v>
      </c>
      <c r="M481" s="4">
        <f t="shared" si="247"/>
        <v>75</v>
      </c>
      <c r="N481" s="4">
        <f t="shared" si="231"/>
        <v>75</v>
      </c>
      <c r="O481" s="5">
        <v>2.7</v>
      </c>
      <c r="P481">
        <v>1</v>
      </c>
      <c r="Q481" t="s">
        <v>28</v>
      </c>
      <c r="S481" s="7"/>
    </row>
    <row r="482" spans="1:19" ht="13.5" x14ac:dyDescent="0.25">
      <c r="A482" t="s">
        <v>1169</v>
      </c>
      <c r="B482" t="s">
        <v>1170</v>
      </c>
      <c r="C482" t="str">
        <f t="shared" si="237"/>
        <v>Craig Levine</v>
      </c>
      <c r="D482" t="s">
        <v>32</v>
      </c>
      <c r="E482" s="3" t="str">
        <f t="shared" si="230"/>
        <v>Male</v>
      </c>
      <c r="F482" s="5">
        <v>59</v>
      </c>
      <c r="G482" t="s">
        <v>132</v>
      </c>
      <c r="H482" t="s">
        <v>133</v>
      </c>
      <c r="I482" t="s">
        <v>288</v>
      </c>
      <c r="J482" s="5">
        <v>13</v>
      </c>
      <c r="K482" s="3" t="str" cm="1">
        <f t="array" ref="K482">_xlfn.IFS(J482&lt;=5, "0-5", J482&lt;=10, "6-10", J482&lt;=15, "11-15", J482&lt;=20, "16-20", J482&gt;20, "21+")</f>
        <v>11-15</v>
      </c>
      <c r="L482">
        <v>40</v>
      </c>
      <c r="M482" s="4">
        <f t="shared" si="247"/>
        <v>40</v>
      </c>
      <c r="N482" s="4">
        <f t="shared" si="231"/>
        <v>40</v>
      </c>
      <c r="O482" s="5">
        <v>2.4</v>
      </c>
      <c r="P482" t="s">
        <v>81</v>
      </c>
      <c r="Q482" t="s">
        <v>54</v>
      </c>
      <c r="R482">
        <v>65</v>
      </c>
      <c r="S482" s="6">
        <f>R482/100</f>
        <v>0.65</v>
      </c>
    </row>
    <row r="483" spans="1:19" ht="13.5" x14ac:dyDescent="0.25">
      <c r="A483" t="s">
        <v>1171</v>
      </c>
      <c r="B483" t="s">
        <v>1172</v>
      </c>
      <c r="C483" t="str">
        <f t="shared" si="237"/>
        <v>Richard Harvey</v>
      </c>
      <c r="D483" t="s">
        <v>311</v>
      </c>
      <c r="E483" s="3" t="str">
        <f t="shared" si="230"/>
        <v>Male</v>
      </c>
      <c r="G483" t="s">
        <v>152</v>
      </c>
      <c r="H483" t="s">
        <v>39</v>
      </c>
      <c r="I483" t="s">
        <v>290</v>
      </c>
      <c r="K483" s="3" t="str" cm="1">
        <f t="array" ref="K483">_xlfn.IFS(J483&lt;=5, "0-5", J483&lt;=10, "6-10", J483&lt;=15, "11-15", J483&lt;=20, "16-20", J483&gt;20, "21+")</f>
        <v>0-5</v>
      </c>
      <c r="L483">
        <v>40</v>
      </c>
      <c r="M483" s="4">
        <f t="shared" si="247"/>
        <v>40</v>
      </c>
      <c r="N483" s="4">
        <f t="shared" si="231"/>
        <v>40</v>
      </c>
      <c r="O483" s="5">
        <v>1.9</v>
      </c>
      <c r="P483">
        <v>1</v>
      </c>
      <c r="Q483" t="s">
        <v>28</v>
      </c>
      <c r="R483" s="1">
        <v>0.94</v>
      </c>
      <c r="S483" s="6">
        <f t="shared" ref="S483:S486" si="248">R483</f>
        <v>0.94</v>
      </c>
    </row>
    <row r="484" spans="1:19" ht="13.5" x14ac:dyDescent="0.25">
      <c r="A484" t="s">
        <v>1173</v>
      </c>
      <c r="B484" t="s">
        <v>1174</v>
      </c>
      <c r="C484" t="str">
        <f t="shared" si="237"/>
        <v>Bonnie Sherman</v>
      </c>
      <c r="D484" t="s">
        <v>304</v>
      </c>
      <c r="E484" s="3" t="str">
        <f t="shared" si="230"/>
        <v>Female</v>
      </c>
      <c r="G484" t="s">
        <v>52</v>
      </c>
      <c r="H484" t="s">
        <v>53</v>
      </c>
      <c r="I484" t="s">
        <v>285</v>
      </c>
      <c r="J484" s="5">
        <v>11</v>
      </c>
      <c r="K484" s="3" t="str" cm="1">
        <f t="array" ref="K484">_xlfn.IFS(J484&lt;=5, "0-5", J484&lt;=10, "6-10", J484&lt;=15, "11-15", J484&lt;=20, "16-20", J484&gt;20, "21+")</f>
        <v>11-15</v>
      </c>
      <c r="L484" s="2">
        <v>20</v>
      </c>
      <c r="M484" s="4" t="str">
        <f>SUBSTITUTE(L484, "$","")</f>
        <v>20</v>
      </c>
      <c r="N484" s="4">
        <f t="shared" si="231"/>
        <v>20</v>
      </c>
      <c r="O484" s="5">
        <v>3.6</v>
      </c>
      <c r="P484" t="s">
        <v>81</v>
      </c>
      <c r="Q484" t="s">
        <v>54</v>
      </c>
      <c r="R484" s="1">
        <v>0.69</v>
      </c>
      <c r="S484" s="6">
        <f t="shared" si="248"/>
        <v>0.69</v>
      </c>
    </row>
    <row r="485" spans="1:19" ht="13.5" x14ac:dyDescent="0.25">
      <c r="A485" t="s">
        <v>1175</v>
      </c>
      <c r="B485" t="s">
        <v>1176</v>
      </c>
      <c r="C485" t="str">
        <f t="shared" si="237"/>
        <v>Keith Trujillo</v>
      </c>
      <c r="D485" t="s">
        <v>43</v>
      </c>
      <c r="E485" s="3" t="str">
        <f t="shared" si="230"/>
        <v>Male</v>
      </c>
      <c r="F485" s="5">
        <v>25</v>
      </c>
      <c r="G485" t="s">
        <v>52</v>
      </c>
      <c r="H485" t="s">
        <v>53</v>
      </c>
      <c r="I485" t="s">
        <v>285</v>
      </c>
      <c r="J485" s="5">
        <v>0</v>
      </c>
      <c r="K485" s="3" t="str" cm="1">
        <f t="array" ref="K485">_xlfn.IFS(J485&lt;=5, "0-5", J485&lt;=10, "6-10", J485&lt;=15, "11-15", J485&lt;=20, "16-20", J485&gt;20, "21+")</f>
        <v>0-5</v>
      </c>
      <c r="L485">
        <v>50</v>
      </c>
      <c r="M485" s="4">
        <f>L485</f>
        <v>50</v>
      </c>
      <c r="N485" s="4">
        <f t="shared" si="231"/>
        <v>50</v>
      </c>
      <c r="O485" s="5">
        <v>2.9</v>
      </c>
      <c r="P485" t="s">
        <v>27</v>
      </c>
      <c r="Q485" t="s">
        <v>28</v>
      </c>
      <c r="R485" s="1">
        <v>0.65</v>
      </c>
      <c r="S485" s="6">
        <f t="shared" si="248"/>
        <v>0.65</v>
      </c>
    </row>
    <row r="486" spans="1:19" ht="13.5" x14ac:dyDescent="0.25">
      <c r="A486" t="s">
        <v>1177</v>
      </c>
      <c r="B486" t="s">
        <v>1178</v>
      </c>
      <c r="C486" t="str">
        <f t="shared" si="237"/>
        <v>Corey Combs</v>
      </c>
      <c r="D486" t="s">
        <v>31</v>
      </c>
      <c r="E486" s="3" t="str">
        <f t="shared" si="230"/>
        <v>Male</v>
      </c>
      <c r="F486" s="5">
        <v>31</v>
      </c>
      <c r="G486" t="s">
        <v>117</v>
      </c>
      <c r="H486" t="s">
        <v>118</v>
      </c>
      <c r="I486" t="s">
        <v>285</v>
      </c>
      <c r="J486" s="5">
        <v>2</v>
      </c>
      <c r="K486" s="3" t="str" cm="1">
        <f t="array" ref="K486">_xlfn.IFS(J486&lt;=5, "0-5", J486&lt;=10, "6-10", J486&lt;=15, "11-15", J486&lt;=20, "16-20", J486&gt;20, "21+")</f>
        <v>0-5</v>
      </c>
      <c r="L486" s="2">
        <v>75</v>
      </c>
      <c r="M486" s="4" t="str">
        <f>SUBSTITUTE(L486, "$","")</f>
        <v>75</v>
      </c>
      <c r="N486" s="4">
        <f t="shared" si="231"/>
        <v>75</v>
      </c>
      <c r="O486" s="5">
        <v>2.8</v>
      </c>
      <c r="P486" t="b">
        <v>0</v>
      </c>
      <c r="Q486" t="s">
        <v>54</v>
      </c>
      <c r="R486" s="1">
        <v>0.6</v>
      </c>
      <c r="S486" s="6">
        <f t="shared" si="248"/>
        <v>0.6</v>
      </c>
    </row>
    <row r="487" spans="1:19" ht="13.5" x14ac:dyDescent="0.25">
      <c r="A487" t="s">
        <v>1179</v>
      </c>
      <c r="B487" t="s">
        <v>1180</v>
      </c>
      <c r="C487" t="str">
        <f t="shared" si="237"/>
        <v>Antonio King</v>
      </c>
      <c r="D487" t="s">
        <v>311</v>
      </c>
      <c r="E487" s="3" t="str">
        <f t="shared" si="230"/>
        <v>Male</v>
      </c>
      <c r="F487" s="5">
        <v>40</v>
      </c>
      <c r="G487" t="s">
        <v>67</v>
      </c>
      <c r="H487" t="s">
        <v>68</v>
      </c>
      <c r="I487" t="s">
        <v>283</v>
      </c>
      <c r="J487" s="5">
        <v>12</v>
      </c>
      <c r="K487" s="3" t="str" cm="1">
        <f t="array" ref="K487">_xlfn.IFS(J487&lt;=5, "0-5", J487&lt;=10, "6-10", J487&lt;=15, "11-15", J487&lt;=20, "16-20", J487&gt;20, "21+")</f>
        <v>11-15</v>
      </c>
      <c r="L487">
        <v>75</v>
      </c>
      <c r="M487" s="4">
        <f>L487</f>
        <v>75</v>
      </c>
      <c r="N487" s="4">
        <f t="shared" si="231"/>
        <v>75</v>
      </c>
      <c r="O487" s="5">
        <v>2.6</v>
      </c>
      <c r="P487" t="b">
        <v>0</v>
      </c>
      <c r="Q487" t="s">
        <v>54</v>
      </c>
      <c r="S487" s="7"/>
    </row>
    <row r="488" spans="1:19" ht="13.5" x14ac:dyDescent="0.25">
      <c r="A488" t="s">
        <v>1181</v>
      </c>
      <c r="B488" t="s">
        <v>833</v>
      </c>
      <c r="C488" t="str">
        <f t="shared" si="237"/>
        <v>Amy Lee</v>
      </c>
      <c r="D488" t="s">
        <v>37</v>
      </c>
      <c r="E488" s="3" t="str">
        <f t="shared" si="230"/>
        <v>Female</v>
      </c>
      <c r="F488" s="5">
        <v>48</v>
      </c>
      <c r="G488" t="s">
        <v>95</v>
      </c>
      <c r="H488" t="s">
        <v>96</v>
      </c>
      <c r="I488" t="s">
        <v>292</v>
      </c>
      <c r="J488" s="5">
        <v>13</v>
      </c>
      <c r="K488" s="3" t="str" cm="1">
        <f t="array" ref="K488">_xlfn.IFS(J488&lt;=5, "0-5", J488&lt;=10, "6-10", J488&lt;=15, "11-15", J488&lt;=20, "16-20", J488&gt;20, "21+")</f>
        <v>11-15</v>
      </c>
      <c r="L488" s="2">
        <v>100</v>
      </c>
      <c r="M488" s="4" t="str">
        <f>SUBSTITUTE(L488, "$","")</f>
        <v>100</v>
      </c>
      <c r="N488" s="4">
        <f t="shared" si="231"/>
        <v>100</v>
      </c>
      <c r="O488" s="5">
        <v>2.7</v>
      </c>
      <c r="R488" s="1">
        <v>0.62</v>
      </c>
      <c r="S488" s="6">
        <f>R488</f>
        <v>0.62</v>
      </c>
    </row>
    <row r="489" spans="1:19" ht="13.5" x14ac:dyDescent="0.25">
      <c r="A489" t="s">
        <v>1182</v>
      </c>
      <c r="B489" t="s">
        <v>1183</v>
      </c>
      <c r="C489" t="str">
        <f t="shared" si="237"/>
        <v>Jennifer Rogers</v>
      </c>
      <c r="D489" t="s">
        <v>37</v>
      </c>
      <c r="E489" s="3" t="str">
        <f t="shared" si="230"/>
        <v>Female</v>
      </c>
      <c r="F489" s="5">
        <v>24</v>
      </c>
      <c r="G489" t="s">
        <v>177</v>
      </c>
      <c r="H489" t="s">
        <v>178</v>
      </c>
      <c r="I489" t="s">
        <v>285</v>
      </c>
      <c r="J489" s="5">
        <v>6</v>
      </c>
      <c r="K489" s="3" t="str" cm="1">
        <f t="array" ref="K489">_xlfn.IFS(J489&lt;=5, "0-5", J489&lt;=10, "6-10", J489&lt;=15, "11-15", J489&lt;=20, "16-20", J489&gt;20, "21+")</f>
        <v>6-10</v>
      </c>
      <c r="L489">
        <v>30</v>
      </c>
      <c r="M489" s="4">
        <f>L489</f>
        <v>30</v>
      </c>
      <c r="N489" s="4">
        <f t="shared" si="231"/>
        <v>30</v>
      </c>
      <c r="O489" s="5">
        <v>1.1000000000000001</v>
      </c>
      <c r="P489" t="s">
        <v>27</v>
      </c>
      <c r="Q489" t="s">
        <v>28</v>
      </c>
      <c r="S489" s="7"/>
    </row>
    <row r="490" spans="1:19" ht="13.5" x14ac:dyDescent="0.25">
      <c r="A490" t="s">
        <v>1184</v>
      </c>
      <c r="B490" t="s">
        <v>1185</v>
      </c>
      <c r="C490" t="str">
        <f t="shared" si="237"/>
        <v>Jeffrey Cooper</v>
      </c>
      <c r="D490" t="s">
        <v>311</v>
      </c>
      <c r="E490" s="3" t="str">
        <f t="shared" si="230"/>
        <v>Male</v>
      </c>
      <c r="F490" s="5">
        <v>33</v>
      </c>
      <c r="G490" t="s">
        <v>104</v>
      </c>
      <c r="H490" t="s">
        <v>105</v>
      </c>
      <c r="I490" t="s">
        <v>290</v>
      </c>
      <c r="J490" s="5">
        <v>10</v>
      </c>
      <c r="K490" s="3" t="str" cm="1">
        <f t="array" ref="K490">_xlfn.IFS(J490&lt;=5, "0-5", J490&lt;=10, "6-10", J490&lt;=15, "11-15", J490&lt;=20, "16-20", J490&gt;20, "21+")</f>
        <v>6-10</v>
      </c>
      <c r="L490" t="s">
        <v>72</v>
      </c>
      <c r="M490" s="4" t="str">
        <f t="shared" ref="M490" si="249">_xlfn.TEXTAFTER(L490, " ")</f>
        <v>30</v>
      </c>
      <c r="N490" s="4">
        <f t="shared" si="231"/>
        <v>30</v>
      </c>
      <c r="O490" s="5">
        <v>0</v>
      </c>
      <c r="P490" t="s">
        <v>27</v>
      </c>
      <c r="Q490" t="s">
        <v>28</v>
      </c>
      <c r="R490" s="1">
        <v>0.89</v>
      </c>
      <c r="S490" s="6">
        <f t="shared" ref="S490:S492" si="250">R490</f>
        <v>0.89</v>
      </c>
    </row>
    <row r="491" spans="1:19" ht="13.5" x14ac:dyDescent="0.25">
      <c r="A491" t="s">
        <v>1186</v>
      </c>
      <c r="B491" t="s">
        <v>1187</v>
      </c>
      <c r="C491" t="str">
        <f t="shared" si="237"/>
        <v>Allison Williams</v>
      </c>
      <c r="D491" t="s">
        <v>22</v>
      </c>
      <c r="E491" s="3" t="str">
        <f t="shared" si="230"/>
        <v>Female</v>
      </c>
      <c r="F491" s="5">
        <v>43</v>
      </c>
      <c r="G491" t="s">
        <v>47</v>
      </c>
      <c r="H491" t="s">
        <v>48</v>
      </c>
      <c r="I491" t="s">
        <v>286</v>
      </c>
      <c r="J491" s="5">
        <v>2</v>
      </c>
      <c r="K491" s="3" t="str" cm="1">
        <f t="array" ref="K491">_xlfn.IFS(J491&lt;=5, "0-5", J491&lt;=10, "6-10", J491&lt;=15, "11-15", J491&lt;=20, "16-20", J491&gt;20, "21+")</f>
        <v>0-5</v>
      </c>
      <c r="L491" s="2">
        <v>40</v>
      </c>
      <c r="M491" s="4" t="str">
        <f>SUBSTITUTE(L491, "$","")</f>
        <v>40</v>
      </c>
      <c r="N491" s="4">
        <f t="shared" si="231"/>
        <v>40</v>
      </c>
      <c r="O491" s="5">
        <v>0</v>
      </c>
      <c r="P491" t="s">
        <v>27</v>
      </c>
      <c r="Q491" t="s">
        <v>28</v>
      </c>
      <c r="R491" s="1">
        <v>0.89</v>
      </c>
      <c r="S491" s="6">
        <f t="shared" si="250"/>
        <v>0.89</v>
      </c>
    </row>
    <row r="492" spans="1:19" ht="13.5" x14ac:dyDescent="0.25">
      <c r="A492" t="s">
        <v>1188</v>
      </c>
      <c r="B492" t="s">
        <v>1189</v>
      </c>
      <c r="C492" t="str">
        <f t="shared" si="237"/>
        <v>Raymond Sherman</v>
      </c>
      <c r="D492" t="s">
        <v>328</v>
      </c>
      <c r="E492" s="3" t="str">
        <f t="shared" si="230"/>
        <v>Male</v>
      </c>
      <c r="F492" s="5">
        <v>43</v>
      </c>
      <c r="G492" t="s">
        <v>84</v>
      </c>
      <c r="H492" t="s">
        <v>24</v>
      </c>
      <c r="I492" t="s">
        <v>292</v>
      </c>
      <c r="J492" s="5">
        <v>4</v>
      </c>
      <c r="K492" s="3" t="str" cm="1">
        <f t="array" ref="K492">_xlfn.IFS(J492&lt;=5, "0-5", J492&lt;=10, "6-10", J492&lt;=15, "11-15", J492&lt;=20, "16-20", J492&gt;20, "21+")</f>
        <v>0-5</v>
      </c>
      <c r="L492">
        <v>50</v>
      </c>
      <c r="M492" s="4">
        <f>L492</f>
        <v>50</v>
      </c>
      <c r="N492" s="4">
        <f t="shared" si="231"/>
        <v>50</v>
      </c>
      <c r="O492" s="5">
        <v>0</v>
      </c>
      <c r="P492" t="b">
        <v>1</v>
      </c>
      <c r="Q492" t="s">
        <v>28</v>
      </c>
      <c r="R492" s="1">
        <v>1</v>
      </c>
      <c r="S492" s="6">
        <f t="shared" si="250"/>
        <v>1</v>
      </c>
    </row>
    <row r="493" spans="1:19" ht="13.5" x14ac:dyDescent="0.25">
      <c r="A493" t="s">
        <v>1190</v>
      </c>
      <c r="B493" t="s">
        <v>1191</v>
      </c>
      <c r="C493" t="str">
        <f t="shared" si="237"/>
        <v>Jennifer Nelson</v>
      </c>
      <c r="D493" t="s">
        <v>21</v>
      </c>
      <c r="E493" s="3" t="str">
        <f t="shared" si="230"/>
        <v>Female</v>
      </c>
      <c r="F493" s="5">
        <v>33</v>
      </c>
      <c r="G493" t="s">
        <v>38</v>
      </c>
      <c r="H493" t="s">
        <v>39</v>
      </c>
      <c r="I493" t="s">
        <v>290</v>
      </c>
      <c r="J493" s="5">
        <v>11</v>
      </c>
      <c r="K493" s="3" t="str" cm="1">
        <f t="array" ref="K493">_xlfn.IFS(J493&lt;=5, "0-5", J493&lt;=10, "6-10", J493&lt;=15, "11-15", J493&lt;=20, "16-20", J493&gt;20, "21+")</f>
        <v>11-15</v>
      </c>
      <c r="N493" s="4" t="str">
        <f t="shared" si="231"/>
        <v>NA</v>
      </c>
      <c r="O493" s="5">
        <v>4.5999999999999996</v>
      </c>
      <c r="P493" t="s">
        <v>27</v>
      </c>
      <c r="Q493" t="s">
        <v>28</v>
      </c>
      <c r="S493" s="7"/>
    </row>
    <row r="494" spans="1:19" ht="13.5" x14ac:dyDescent="0.25">
      <c r="A494" t="s">
        <v>1192</v>
      </c>
      <c r="B494" t="s">
        <v>1193</v>
      </c>
      <c r="C494" t="str">
        <f t="shared" si="237"/>
        <v>Jennifer Carter</v>
      </c>
      <c r="D494" t="s">
        <v>21</v>
      </c>
      <c r="E494" s="3" t="str">
        <f t="shared" si="230"/>
        <v>Female</v>
      </c>
      <c r="F494" s="5">
        <v>49</v>
      </c>
      <c r="G494" t="s">
        <v>95</v>
      </c>
      <c r="H494" t="s">
        <v>96</v>
      </c>
      <c r="I494" t="s">
        <v>286</v>
      </c>
      <c r="J494" s="5">
        <v>14</v>
      </c>
      <c r="K494" s="3" t="str" cm="1">
        <f t="array" ref="K494">_xlfn.IFS(J494&lt;=5, "0-5", J494&lt;=10, "6-10", J494&lt;=15, "11-15", J494&lt;=20, "16-20", J494&gt;20, "21+")</f>
        <v>11-15</v>
      </c>
      <c r="L494">
        <v>40</v>
      </c>
      <c r="M494" s="4">
        <f t="shared" ref="M494:M495" si="251">L494</f>
        <v>40</v>
      </c>
      <c r="N494" s="4">
        <f t="shared" si="231"/>
        <v>40</v>
      </c>
      <c r="O494" s="5">
        <v>1.5</v>
      </c>
      <c r="R494" s="1">
        <v>0.6</v>
      </c>
      <c r="S494" s="6">
        <f t="shared" ref="S494:S508" si="252">R494</f>
        <v>0.6</v>
      </c>
    </row>
    <row r="495" spans="1:19" ht="13.5" x14ac:dyDescent="0.25">
      <c r="A495" t="s">
        <v>1194</v>
      </c>
      <c r="B495" t="s">
        <v>1195</v>
      </c>
      <c r="C495" t="str">
        <f t="shared" si="237"/>
        <v>Todd Williams</v>
      </c>
      <c r="D495" t="s">
        <v>43</v>
      </c>
      <c r="E495" s="3" t="str">
        <f t="shared" si="230"/>
        <v>Male</v>
      </c>
      <c r="F495" s="5">
        <v>55</v>
      </c>
      <c r="G495" t="s">
        <v>125</v>
      </c>
      <c r="H495" t="s">
        <v>39</v>
      </c>
      <c r="I495" t="s">
        <v>286</v>
      </c>
      <c r="J495" s="5">
        <v>10</v>
      </c>
      <c r="K495" s="3" t="str" cm="1">
        <f t="array" ref="K495">_xlfn.IFS(J495&lt;=5, "0-5", J495&lt;=10, "6-10", J495&lt;=15, "11-15", J495&lt;=20, "16-20", J495&gt;20, "21+")</f>
        <v>6-10</v>
      </c>
      <c r="L495">
        <v>40</v>
      </c>
      <c r="M495" s="4">
        <f t="shared" si="251"/>
        <v>40</v>
      </c>
      <c r="N495" s="4">
        <f t="shared" si="231"/>
        <v>40</v>
      </c>
      <c r="O495" s="5">
        <v>2</v>
      </c>
      <c r="P495" t="s">
        <v>81</v>
      </c>
      <c r="Q495" t="s">
        <v>54</v>
      </c>
      <c r="R495" s="1">
        <v>0.85</v>
      </c>
      <c r="S495" s="6">
        <f t="shared" si="252"/>
        <v>0.85</v>
      </c>
    </row>
    <row r="496" spans="1:19" ht="13.5" x14ac:dyDescent="0.25">
      <c r="A496" t="s">
        <v>1196</v>
      </c>
      <c r="B496" t="s">
        <v>1197</v>
      </c>
      <c r="C496" t="str">
        <f t="shared" si="237"/>
        <v>Emily Horton</v>
      </c>
      <c r="D496" t="s">
        <v>301</v>
      </c>
      <c r="E496" s="3" t="str">
        <f t="shared" si="230"/>
        <v>Female</v>
      </c>
      <c r="F496" s="5">
        <v>33</v>
      </c>
      <c r="G496" t="s">
        <v>62</v>
      </c>
      <c r="H496" t="s">
        <v>63</v>
      </c>
      <c r="I496" t="s">
        <v>287</v>
      </c>
      <c r="J496" s="5">
        <v>3</v>
      </c>
      <c r="K496" s="3" t="str" cm="1">
        <f t="array" ref="K496">_xlfn.IFS(J496&lt;=5, "0-5", J496&lt;=10, "6-10", J496&lt;=15, "11-15", J496&lt;=20, "16-20", J496&gt;20, "21+")</f>
        <v>0-5</v>
      </c>
      <c r="L496" s="2">
        <v>40</v>
      </c>
      <c r="M496" s="4" t="str">
        <f t="shared" ref="M496:M497" si="253">SUBSTITUTE(L496, "$","")</f>
        <v>40</v>
      </c>
      <c r="N496" s="4">
        <f t="shared" si="231"/>
        <v>40</v>
      </c>
      <c r="O496" s="5">
        <v>1.6</v>
      </c>
      <c r="R496" s="1">
        <v>0.83</v>
      </c>
      <c r="S496" s="6">
        <f t="shared" si="252"/>
        <v>0.83</v>
      </c>
    </row>
    <row r="497" spans="1:19" ht="13.5" x14ac:dyDescent="0.25">
      <c r="A497" t="s">
        <v>217</v>
      </c>
      <c r="B497" t="s">
        <v>218</v>
      </c>
      <c r="C497" t="str">
        <f t="shared" si="237"/>
        <v>Lance Lester</v>
      </c>
      <c r="D497" t="s">
        <v>32</v>
      </c>
      <c r="E497" s="3" t="str">
        <f t="shared" si="230"/>
        <v>Male</v>
      </c>
      <c r="F497" s="5">
        <v>32</v>
      </c>
      <c r="G497" t="s">
        <v>23</v>
      </c>
      <c r="H497" t="s">
        <v>24</v>
      </c>
      <c r="I497" t="s">
        <v>25</v>
      </c>
      <c r="J497" s="5">
        <v>3</v>
      </c>
      <c r="K497" s="3" t="str" cm="1">
        <f t="array" ref="K497">_xlfn.IFS(J497&lt;=5, "0-5", J497&lt;=10, "6-10", J497&lt;=15, "11-15", J497&lt;=20, "16-20", J497&gt;20, "21+")</f>
        <v>0-5</v>
      </c>
      <c r="L497" s="2">
        <v>30</v>
      </c>
      <c r="M497" s="4" t="str">
        <f t="shared" si="253"/>
        <v>30</v>
      </c>
      <c r="N497" s="4">
        <f t="shared" si="231"/>
        <v>30</v>
      </c>
      <c r="O497" s="5">
        <v>1.5</v>
      </c>
      <c r="P497" t="s">
        <v>64</v>
      </c>
      <c r="Q497" t="s">
        <v>54</v>
      </c>
      <c r="R497" s="1">
        <v>0.96</v>
      </c>
      <c r="S497" s="6">
        <f t="shared" si="252"/>
        <v>0.96</v>
      </c>
    </row>
    <row r="498" spans="1:19" ht="13.5" x14ac:dyDescent="0.25">
      <c r="A498" t="s">
        <v>1198</v>
      </c>
      <c r="B498" t="s">
        <v>1199</v>
      </c>
      <c r="C498" t="str">
        <f t="shared" si="237"/>
        <v>Kevin Flores</v>
      </c>
      <c r="D498" t="s">
        <v>43</v>
      </c>
      <c r="E498" s="3" t="str">
        <f t="shared" si="230"/>
        <v>Male</v>
      </c>
      <c r="F498" s="5">
        <v>58</v>
      </c>
      <c r="G498" t="s">
        <v>52</v>
      </c>
      <c r="H498" t="s">
        <v>53</v>
      </c>
      <c r="I498" t="s">
        <v>292</v>
      </c>
      <c r="J498" s="5">
        <v>33</v>
      </c>
      <c r="K498" s="3" t="str" cm="1">
        <f t="array" ref="K498">_xlfn.IFS(J498&lt;=5, "0-5", J498&lt;=10, "6-10", J498&lt;=15, "11-15", J498&lt;=20, "16-20", J498&gt;20, "21+")</f>
        <v>21+</v>
      </c>
      <c r="N498" s="4" t="str">
        <f t="shared" si="231"/>
        <v>NA</v>
      </c>
      <c r="O498" s="5">
        <v>4.0999999999999996</v>
      </c>
      <c r="P498" t="s">
        <v>57</v>
      </c>
      <c r="Q498" t="s">
        <v>28</v>
      </c>
      <c r="R498" s="1">
        <v>0.83</v>
      </c>
      <c r="S498" s="6">
        <f t="shared" si="252"/>
        <v>0.83</v>
      </c>
    </row>
    <row r="499" spans="1:19" ht="13.5" x14ac:dyDescent="0.25">
      <c r="A499" t="s">
        <v>1200</v>
      </c>
      <c r="B499" t="s">
        <v>1201</v>
      </c>
      <c r="C499" t="str">
        <f t="shared" si="237"/>
        <v>Aaron Stewart PhD</v>
      </c>
      <c r="D499" t="s">
        <v>31</v>
      </c>
      <c r="E499" s="3" t="str">
        <f t="shared" si="230"/>
        <v>Male</v>
      </c>
      <c r="F499" s="5">
        <v>49</v>
      </c>
      <c r="G499" t="s">
        <v>104</v>
      </c>
      <c r="H499" t="s">
        <v>105</v>
      </c>
      <c r="I499" t="s">
        <v>291</v>
      </c>
      <c r="J499" s="5">
        <v>24</v>
      </c>
      <c r="K499" s="3" t="str" cm="1">
        <f t="array" ref="K499">_xlfn.IFS(J499&lt;=5, "0-5", J499&lt;=10, "6-10", J499&lt;=15, "11-15", J499&lt;=20, "16-20", J499&gt;20, "21+")</f>
        <v>21+</v>
      </c>
      <c r="L499">
        <v>100</v>
      </c>
      <c r="M499" s="4">
        <f>L499</f>
        <v>100</v>
      </c>
      <c r="N499" s="4">
        <f t="shared" si="231"/>
        <v>100</v>
      </c>
      <c r="O499" s="5">
        <v>4.7</v>
      </c>
      <c r="P499">
        <v>0</v>
      </c>
      <c r="Q499" t="s">
        <v>54</v>
      </c>
      <c r="R499" s="1">
        <v>0.6</v>
      </c>
      <c r="S499" s="6">
        <f t="shared" si="252"/>
        <v>0.6</v>
      </c>
    </row>
    <row r="500" spans="1:19" ht="13.5" x14ac:dyDescent="0.25">
      <c r="A500" t="s">
        <v>1202</v>
      </c>
      <c r="B500" t="s">
        <v>1203</v>
      </c>
      <c r="C500" t="str">
        <f t="shared" si="237"/>
        <v>Robin Moore</v>
      </c>
      <c r="D500" t="s">
        <v>22</v>
      </c>
      <c r="E500" s="3" t="str">
        <f t="shared" si="230"/>
        <v>Female</v>
      </c>
      <c r="F500" s="5">
        <v>22</v>
      </c>
      <c r="G500" t="s">
        <v>95</v>
      </c>
      <c r="H500" t="s">
        <v>96</v>
      </c>
      <c r="I500" t="s">
        <v>286</v>
      </c>
      <c r="J500" s="5">
        <v>3</v>
      </c>
      <c r="K500" s="3" t="str" cm="1">
        <f t="array" ref="K500">_xlfn.IFS(J500&lt;=5, "0-5", J500&lt;=10, "6-10", J500&lt;=15, "11-15", J500&lt;=20, "16-20", J500&gt;20, "21+")</f>
        <v>0-5</v>
      </c>
      <c r="L500" t="s">
        <v>40</v>
      </c>
      <c r="M500" s="4" t="str">
        <f t="shared" ref="M500" si="254">_xlfn.TEXTAFTER(L500, " ")</f>
        <v>100</v>
      </c>
      <c r="N500" s="4">
        <f t="shared" si="231"/>
        <v>100</v>
      </c>
      <c r="O500" s="5">
        <v>3.6</v>
      </c>
      <c r="P500">
        <v>1</v>
      </c>
      <c r="Q500" t="s">
        <v>28</v>
      </c>
      <c r="R500" s="1">
        <v>0.78</v>
      </c>
      <c r="S500" s="6">
        <f t="shared" si="252"/>
        <v>0.78</v>
      </c>
    </row>
    <row r="501" spans="1:19" ht="13.5" x14ac:dyDescent="0.25">
      <c r="A501" t="s">
        <v>1204</v>
      </c>
      <c r="B501" t="s">
        <v>1205</v>
      </c>
      <c r="C501" t="str">
        <f t="shared" si="237"/>
        <v>Suzanne Ingram</v>
      </c>
      <c r="D501" t="s">
        <v>37</v>
      </c>
      <c r="E501" s="3" t="str">
        <f t="shared" si="230"/>
        <v>Female</v>
      </c>
      <c r="F501" s="5">
        <v>40</v>
      </c>
      <c r="G501" t="s">
        <v>117</v>
      </c>
      <c r="H501" t="s">
        <v>118</v>
      </c>
      <c r="I501" t="s">
        <v>290</v>
      </c>
      <c r="J501" s="5">
        <v>11</v>
      </c>
      <c r="K501" s="3" t="str" cm="1">
        <f t="array" ref="K501">_xlfn.IFS(J501&lt;=5, "0-5", J501&lt;=10, "6-10", J501&lt;=15, "11-15", J501&lt;=20, "16-20", J501&gt;20, "21+")</f>
        <v>11-15</v>
      </c>
      <c r="L501" s="2">
        <v>20</v>
      </c>
      <c r="M501" s="4" t="str">
        <f>SUBSTITUTE(L501, "$","")</f>
        <v>20</v>
      </c>
      <c r="N501" s="4">
        <f t="shared" si="231"/>
        <v>20</v>
      </c>
      <c r="O501" s="5">
        <v>1.8</v>
      </c>
      <c r="P501">
        <v>1</v>
      </c>
      <c r="Q501" t="s">
        <v>28</v>
      </c>
      <c r="R501" s="1">
        <v>0.9</v>
      </c>
      <c r="S501" s="6">
        <f t="shared" si="252"/>
        <v>0.9</v>
      </c>
    </row>
    <row r="502" spans="1:19" ht="13.5" x14ac:dyDescent="0.25">
      <c r="A502" t="s">
        <v>1206</v>
      </c>
      <c r="B502" t="s">
        <v>1207</v>
      </c>
      <c r="C502" t="str">
        <f t="shared" si="237"/>
        <v>Jacob Mclaughlin</v>
      </c>
      <c r="D502" t="s">
        <v>43</v>
      </c>
      <c r="E502" s="3" t="str">
        <f t="shared" si="230"/>
        <v>Male</v>
      </c>
      <c r="F502" s="5">
        <v>55</v>
      </c>
      <c r="G502" t="s">
        <v>38</v>
      </c>
      <c r="H502" t="s">
        <v>39</v>
      </c>
      <c r="I502" t="s">
        <v>291</v>
      </c>
      <c r="J502" s="5">
        <v>7</v>
      </c>
      <c r="K502" s="3" t="str" cm="1">
        <f t="array" ref="K502">_xlfn.IFS(J502&lt;=5, "0-5", J502&lt;=10, "6-10", J502&lt;=15, "11-15", J502&lt;=20, "16-20", J502&gt;20, "21+")</f>
        <v>6-10</v>
      </c>
      <c r="L502" t="s">
        <v>40</v>
      </c>
      <c r="M502" s="4" t="str">
        <f t="shared" ref="M502" si="255">_xlfn.TEXTAFTER(L502, " ")</f>
        <v>100</v>
      </c>
      <c r="N502" s="4">
        <f t="shared" si="231"/>
        <v>100</v>
      </c>
      <c r="O502" s="5">
        <v>2.1</v>
      </c>
      <c r="P502">
        <v>0</v>
      </c>
      <c r="Q502" t="s">
        <v>54</v>
      </c>
      <c r="R502" s="1">
        <v>0.66</v>
      </c>
      <c r="S502" s="6">
        <f t="shared" si="252"/>
        <v>0.66</v>
      </c>
    </row>
    <row r="503" spans="1:19" ht="13.5" x14ac:dyDescent="0.25">
      <c r="A503" t="s">
        <v>1208</v>
      </c>
      <c r="B503" t="s">
        <v>1209</v>
      </c>
      <c r="C503" t="str">
        <f t="shared" si="237"/>
        <v>Michael Nunez</v>
      </c>
      <c r="D503" t="s">
        <v>328</v>
      </c>
      <c r="E503" s="3" t="str">
        <f t="shared" si="230"/>
        <v>Male</v>
      </c>
      <c r="F503" s="5">
        <v>32</v>
      </c>
      <c r="G503" t="s">
        <v>44</v>
      </c>
      <c r="H503" t="s">
        <v>24</v>
      </c>
      <c r="I503" t="s">
        <v>283</v>
      </c>
      <c r="J503" s="5">
        <v>1</v>
      </c>
      <c r="K503" s="3" t="str" cm="1">
        <f t="array" ref="K503">_xlfn.IFS(J503&lt;=5, "0-5", J503&lt;=10, "6-10", J503&lt;=15, "11-15", J503&lt;=20, "16-20", J503&gt;20, "21+")</f>
        <v>0-5</v>
      </c>
      <c r="L503" s="2">
        <v>50</v>
      </c>
      <c r="M503" s="4" t="str">
        <f>SUBSTITUTE(L503, "$","")</f>
        <v>50</v>
      </c>
      <c r="N503" s="4">
        <f t="shared" si="231"/>
        <v>50</v>
      </c>
      <c r="P503" t="s">
        <v>27</v>
      </c>
      <c r="Q503" t="s">
        <v>28</v>
      </c>
      <c r="R503" s="1">
        <v>0.7</v>
      </c>
      <c r="S503" s="6">
        <f t="shared" si="252"/>
        <v>0.7</v>
      </c>
    </row>
    <row r="504" spans="1:19" ht="13.5" x14ac:dyDescent="0.25">
      <c r="A504" t="s">
        <v>1210</v>
      </c>
      <c r="B504" t="s">
        <v>1211</v>
      </c>
      <c r="C504" t="str">
        <f t="shared" si="237"/>
        <v>Isabel Brown</v>
      </c>
      <c r="D504" t="s">
        <v>21</v>
      </c>
      <c r="E504" s="3" t="str">
        <f t="shared" si="230"/>
        <v>Female</v>
      </c>
      <c r="F504" s="5">
        <v>21</v>
      </c>
      <c r="G504" t="s">
        <v>88</v>
      </c>
      <c r="H504" t="s">
        <v>89</v>
      </c>
      <c r="I504" t="s">
        <v>286</v>
      </c>
      <c r="J504" s="5">
        <v>0</v>
      </c>
      <c r="K504" s="3" t="str" cm="1">
        <f t="array" ref="K504">_xlfn.IFS(J504&lt;=5, "0-5", J504&lt;=10, "6-10", J504&lt;=15, "11-15", J504&lt;=20, "16-20", J504&gt;20, "21+")</f>
        <v>0-5</v>
      </c>
      <c r="L504" t="s">
        <v>72</v>
      </c>
      <c r="M504" s="4" t="str">
        <f t="shared" ref="M504" si="256">_xlfn.TEXTAFTER(L504, " ")</f>
        <v>30</v>
      </c>
      <c r="N504" s="4">
        <f t="shared" si="231"/>
        <v>30</v>
      </c>
      <c r="O504" s="5">
        <v>4.2</v>
      </c>
      <c r="P504" t="s">
        <v>27</v>
      </c>
      <c r="Q504" t="s">
        <v>28</v>
      </c>
      <c r="R504" s="1">
        <v>0.79</v>
      </c>
      <c r="S504" s="6">
        <f t="shared" si="252"/>
        <v>0.79</v>
      </c>
    </row>
    <row r="505" spans="1:19" ht="13.5" x14ac:dyDescent="0.25">
      <c r="A505" t="s">
        <v>1212</v>
      </c>
      <c r="B505" t="s">
        <v>1213</v>
      </c>
      <c r="C505" t="str">
        <f t="shared" si="237"/>
        <v>Michael Stein</v>
      </c>
      <c r="D505" t="s">
        <v>328</v>
      </c>
      <c r="E505" s="3" t="str">
        <f t="shared" si="230"/>
        <v>Male</v>
      </c>
      <c r="F505" s="5">
        <v>23</v>
      </c>
      <c r="G505" t="s">
        <v>62</v>
      </c>
      <c r="H505" t="s">
        <v>63</v>
      </c>
      <c r="I505" t="s">
        <v>292</v>
      </c>
      <c r="J505" s="5">
        <v>1</v>
      </c>
      <c r="K505" s="3" t="str" cm="1">
        <f t="array" ref="K505">_xlfn.IFS(J505&lt;=5, "0-5", J505&lt;=10, "6-10", J505&lt;=15, "11-15", J505&lt;=20, "16-20", J505&gt;20, "21+")</f>
        <v>0-5</v>
      </c>
      <c r="L505">
        <v>40</v>
      </c>
      <c r="M505" s="4">
        <f>L505</f>
        <v>40</v>
      </c>
      <c r="N505" s="4">
        <f t="shared" si="231"/>
        <v>40</v>
      </c>
      <c r="O505" s="5">
        <v>0</v>
      </c>
      <c r="P505">
        <v>0</v>
      </c>
      <c r="Q505" t="s">
        <v>54</v>
      </c>
      <c r="R505" s="1">
        <v>0.64</v>
      </c>
      <c r="S505" s="6">
        <f t="shared" si="252"/>
        <v>0.64</v>
      </c>
    </row>
    <row r="506" spans="1:19" ht="13.5" x14ac:dyDescent="0.25">
      <c r="A506" t="s">
        <v>1214</v>
      </c>
      <c r="B506" t="s">
        <v>1215</v>
      </c>
      <c r="C506" t="str">
        <f t="shared" si="237"/>
        <v>Robert Stone</v>
      </c>
      <c r="D506" t="s">
        <v>32</v>
      </c>
      <c r="E506" s="3" t="str">
        <f t="shared" si="230"/>
        <v>Male</v>
      </c>
      <c r="F506" s="5">
        <v>21</v>
      </c>
      <c r="G506" t="s">
        <v>152</v>
      </c>
      <c r="H506" t="s">
        <v>39</v>
      </c>
      <c r="I506" t="s">
        <v>285</v>
      </c>
      <c r="J506" s="5">
        <v>1</v>
      </c>
      <c r="K506" s="3" t="str" cm="1">
        <f t="array" ref="K506">_xlfn.IFS(J506&lt;=5, "0-5", J506&lt;=10, "6-10", J506&lt;=15, "11-15", J506&lt;=20, "16-20", J506&gt;20, "21+")</f>
        <v>0-5</v>
      </c>
      <c r="L506" t="s">
        <v>72</v>
      </c>
      <c r="M506" s="4" t="str">
        <f t="shared" ref="M506" si="257">_xlfn.TEXTAFTER(L506, " ")</f>
        <v>30</v>
      </c>
      <c r="N506" s="4">
        <f t="shared" si="231"/>
        <v>30</v>
      </c>
      <c r="O506" s="5">
        <v>1</v>
      </c>
      <c r="P506" t="s">
        <v>64</v>
      </c>
      <c r="Q506" t="s">
        <v>54</v>
      </c>
      <c r="R506" s="1">
        <v>0.81</v>
      </c>
      <c r="S506" s="6">
        <f t="shared" si="252"/>
        <v>0.81</v>
      </c>
    </row>
    <row r="507" spans="1:19" ht="13.5" x14ac:dyDescent="0.25">
      <c r="A507" t="s">
        <v>215</v>
      </c>
      <c r="B507" t="s">
        <v>216</v>
      </c>
      <c r="C507" t="str">
        <f t="shared" si="237"/>
        <v>Dillon Henry</v>
      </c>
      <c r="D507" t="s">
        <v>32</v>
      </c>
      <c r="E507" s="3" t="str">
        <f t="shared" si="230"/>
        <v>Male</v>
      </c>
      <c r="F507" s="5">
        <v>31</v>
      </c>
      <c r="G507" t="s">
        <v>23</v>
      </c>
      <c r="H507" t="s">
        <v>24</v>
      </c>
      <c r="I507" t="s">
        <v>25</v>
      </c>
      <c r="J507" s="5">
        <v>7</v>
      </c>
      <c r="K507" s="3" t="str" cm="1">
        <f t="array" ref="K507">_xlfn.IFS(J507&lt;=5, "0-5", J507&lt;=10, "6-10", J507&lt;=15, "11-15", J507&lt;=20, "16-20", J507&gt;20, "21+")</f>
        <v>6-10</v>
      </c>
      <c r="L507">
        <v>75</v>
      </c>
      <c r="M507" s="4">
        <f t="shared" ref="M507:M508" si="258">L507</f>
        <v>75</v>
      </c>
      <c r="N507" s="4">
        <f t="shared" si="231"/>
        <v>75</v>
      </c>
      <c r="O507" s="5">
        <v>4.4000000000000004</v>
      </c>
      <c r="P507">
        <v>0</v>
      </c>
      <c r="Q507" t="s">
        <v>54</v>
      </c>
      <c r="R507" s="1">
        <v>0.83</v>
      </c>
      <c r="S507" s="6">
        <f t="shared" si="252"/>
        <v>0.83</v>
      </c>
    </row>
    <row r="508" spans="1:19" ht="13.5" x14ac:dyDescent="0.25">
      <c r="A508" t="s">
        <v>1216</v>
      </c>
      <c r="B508" t="s">
        <v>1217</v>
      </c>
      <c r="C508" t="str">
        <f t="shared" si="237"/>
        <v>James Todd</v>
      </c>
      <c r="D508" t="s">
        <v>328</v>
      </c>
      <c r="E508" s="3" t="str">
        <f t="shared" si="230"/>
        <v>Male</v>
      </c>
      <c r="F508" s="5">
        <v>21</v>
      </c>
      <c r="G508" t="s">
        <v>44</v>
      </c>
      <c r="H508" t="s">
        <v>24</v>
      </c>
      <c r="I508" t="s">
        <v>292</v>
      </c>
      <c r="K508" s="3" t="str" cm="1">
        <f t="array" ref="K508">_xlfn.IFS(J508&lt;=5, "0-5", J508&lt;=10, "6-10", J508&lt;=15, "11-15", J508&lt;=20, "16-20", J508&gt;20, "21+")</f>
        <v>0-5</v>
      </c>
      <c r="L508">
        <v>40</v>
      </c>
      <c r="M508" s="4">
        <f t="shared" si="258"/>
        <v>40</v>
      </c>
      <c r="N508" s="4">
        <f t="shared" si="231"/>
        <v>40</v>
      </c>
      <c r="O508" s="5">
        <v>4</v>
      </c>
      <c r="P508">
        <v>0</v>
      </c>
      <c r="Q508" t="s">
        <v>54</v>
      </c>
      <c r="R508" s="1">
        <v>0.91</v>
      </c>
      <c r="S508" s="6">
        <f t="shared" si="252"/>
        <v>0.91</v>
      </c>
    </row>
    <row r="509" spans="1:19" ht="13.5" x14ac:dyDescent="0.25">
      <c r="A509" t="s">
        <v>1218</v>
      </c>
      <c r="B509" t="s">
        <v>1219</v>
      </c>
      <c r="C509" t="str">
        <f t="shared" si="237"/>
        <v>Clifford Moore MD</v>
      </c>
      <c r="D509" t="s">
        <v>31</v>
      </c>
      <c r="E509" s="3" t="str">
        <f t="shared" si="230"/>
        <v>Male</v>
      </c>
      <c r="F509" s="5">
        <v>33</v>
      </c>
      <c r="G509" t="s">
        <v>152</v>
      </c>
      <c r="H509" t="s">
        <v>39</v>
      </c>
      <c r="I509" t="s">
        <v>288</v>
      </c>
      <c r="J509" s="5">
        <v>6</v>
      </c>
      <c r="K509" s="3" t="str" cm="1">
        <f t="array" ref="K509">_xlfn.IFS(J509&lt;=5, "0-5", J509&lt;=10, "6-10", J509&lt;=15, "11-15", J509&lt;=20, "16-20", J509&gt;20, "21+")</f>
        <v>6-10</v>
      </c>
      <c r="L509" t="s">
        <v>112</v>
      </c>
      <c r="M509" s="4" t="str">
        <f t="shared" ref="M509" si="259">_xlfn.TEXTAFTER(L509, " ")</f>
        <v>50</v>
      </c>
      <c r="N509" s="4">
        <f t="shared" si="231"/>
        <v>50</v>
      </c>
      <c r="O509" s="5">
        <v>3.1</v>
      </c>
      <c r="P509" t="s">
        <v>64</v>
      </c>
      <c r="Q509" t="s">
        <v>54</v>
      </c>
      <c r="S509" s="7"/>
    </row>
    <row r="510" spans="1:19" ht="13.5" x14ac:dyDescent="0.25">
      <c r="A510" t="s">
        <v>1220</v>
      </c>
      <c r="B510" t="s">
        <v>1221</v>
      </c>
      <c r="C510" t="str">
        <f t="shared" si="237"/>
        <v>John Rios</v>
      </c>
      <c r="D510" t="s">
        <v>43</v>
      </c>
      <c r="E510" s="3" t="str">
        <f t="shared" si="230"/>
        <v>Male</v>
      </c>
      <c r="F510" s="5">
        <v>57</v>
      </c>
      <c r="G510" t="s">
        <v>47</v>
      </c>
      <c r="H510" t="s">
        <v>48</v>
      </c>
      <c r="I510" t="s">
        <v>290</v>
      </c>
      <c r="J510" s="5">
        <v>5</v>
      </c>
      <c r="K510" s="3" t="str" cm="1">
        <f t="array" ref="K510">_xlfn.IFS(J510&lt;=5, "0-5", J510&lt;=10, "6-10", J510&lt;=15, "11-15", J510&lt;=20, "16-20", J510&gt;20, "21+")</f>
        <v>0-5</v>
      </c>
      <c r="L510">
        <v>75</v>
      </c>
      <c r="M510" s="4">
        <f>L510</f>
        <v>75</v>
      </c>
      <c r="N510" s="4">
        <f t="shared" si="231"/>
        <v>75</v>
      </c>
      <c r="O510" s="5">
        <v>1.1000000000000001</v>
      </c>
      <c r="P510" t="b">
        <v>1</v>
      </c>
      <c r="Q510" t="s">
        <v>28</v>
      </c>
      <c r="R510" s="1">
        <v>0.77</v>
      </c>
      <c r="S510" s="6">
        <f t="shared" ref="S510:S514" si="260">R510</f>
        <v>0.77</v>
      </c>
    </row>
    <row r="511" spans="1:19" ht="13.5" x14ac:dyDescent="0.25">
      <c r="A511" t="s">
        <v>1222</v>
      </c>
      <c r="B511" t="s">
        <v>1223</v>
      </c>
      <c r="C511" t="str">
        <f t="shared" si="237"/>
        <v>Anthony Gaines</v>
      </c>
      <c r="D511" t="s">
        <v>43</v>
      </c>
      <c r="E511" s="3" t="str">
        <f t="shared" si="230"/>
        <v>Male</v>
      </c>
      <c r="F511" s="5">
        <v>52</v>
      </c>
      <c r="G511" t="s">
        <v>183</v>
      </c>
      <c r="H511" t="s">
        <v>39</v>
      </c>
      <c r="I511" t="s">
        <v>283</v>
      </c>
      <c r="J511" s="5">
        <v>17</v>
      </c>
      <c r="K511" s="3" t="str" cm="1">
        <f t="array" ref="K511">_xlfn.IFS(J511&lt;=5, "0-5", J511&lt;=10, "6-10", J511&lt;=15, "11-15", J511&lt;=20, "16-20", J511&gt;20, "21+")</f>
        <v>16-20</v>
      </c>
      <c r="L511" t="s">
        <v>92</v>
      </c>
      <c r="M511" s="4" t="str">
        <f t="shared" ref="M511" si="261">_xlfn.TEXTAFTER(L511, " ")</f>
        <v>75</v>
      </c>
      <c r="N511" s="4">
        <f t="shared" si="231"/>
        <v>75</v>
      </c>
      <c r="O511" s="5">
        <v>0</v>
      </c>
      <c r="P511">
        <v>0</v>
      </c>
      <c r="Q511" t="s">
        <v>54</v>
      </c>
      <c r="R511" s="1">
        <v>0.94</v>
      </c>
      <c r="S511" s="6">
        <f t="shared" si="260"/>
        <v>0.94</v>
      </c>
    </row>
    <row r="512" spans="1:19" ht="13.5" x14ac:dyDescent="0.25">
      <c r="A512" t="s">
        <v>1224</v>
      </c>
      <c r="B512" t="s">
        <v>1225</v>
      </c>
      <c r="C512" t="str">
        <f t="shared" si="237"/>
        <v>Kristi Brown DVM</v>
      </c>
      <c r="D512" t="s">
        <v>22</v>
      </c>
      <c r="E512" s="3" t="str">
        <f t="shared" si="230"/>
        <v>Female</v>
      </c>
      <c r="F512" s="5">
        <v>21</v>
      </c>
      <c r="G512" t="s">
        <v>33</v>
      </c>
      <c r="H512" t="s">
        <v>34</v>
      </c>
      <c r="I512" t="s">
        <v>290</v>
      </c>
      <c r="J512" s="5">
        <v>0</v>
      </c>
      <c r="K512" s="3" t="str" cm="1">
        <f t="array" ref="K512">_xlfn.IFS(J512&lt;=5, "0-5", J512&lt;=10, "6-10", J512&lt;=15, "11-15", J512&lt;=20, "16-20", J512&gt;20, "21+")</f>
        <v>0-5</v>
      </c>
      <c r="L512" s="2">
        <v>20</v>
      </c>
      <c r="M512" s="4" t="str">
        <f>SUBSTITUTE(L512, "$","")</f>
        <v>20</v>
      </c>
      <c r="N512" s="4">
        <f t="shared" si="231"/>
        <v>20</v>
      </c>
      <c r="O512" s="5">
        <v>3.8</v>
      </c>
      <c r="P512">
        <v>1</v>
      </c>
      <c r="Q512" t="s">
        <v>28</v>
      </c>
      <c r="R512" s="1">
        <v>0.61</v>
      </c>
      <c r="S512" s="6">
        <f t="shared" si="260"/>
        <v>0.61</v>
      </c>
    </row>
    <row r="513" spans="1:19" ht="13.5" x14ac:dyDescent="0.25">
      <c r="A513" t="s">
        <v>1226</v>
      </c>
      <c r="B513" t="s">
        <v>1227</v>
      </c>
      <c r="C513" t="str">
        <f t="shared" si="237"/>
        <v>Ashley Odonnell</v>
      </c>
      <c r="D513" t="s">
        <v>21</v>
      </c>
      <c r="E513" s="3" t="str">
        <f t="shared" si="230"/>
        <v>Female</v>
      </c>
      <c r="F513" s="5">
        <v>36</v>
      </c>
      <c r="G513" t="s">
        <v>23</v>
      </c>
      <c r="H513" t="s">
        <v>24</v>
      </c>
      <c r="I513" t="s">
        <v>286</v>
      </c>
      <c r="J513" s="5">
        <v>8</v>
      </c>
      <c r="K513" s="3" t="str" cm="1">
        <f t="array" ref="K513">_xlfn.IFS(J513&lt;=5, "0-5", J513&lt;=10, "6-10", J513&lt;=15, "11-15", J513&lt;=20, "16-20", J513&gt;20, "21+")</f>
        <v>6-10</v>
      </c>
      <c r="L513">
        <v>100</v>
      </c>
      <c r="M513" s="4">
        <f t="shared" ref="M513:M515" si="262">L513</f>
        <v>100</v>
      </c>
      <c r="N513" s="4">
        <f t="shared" si="231"/>
        <v>100</v>
      </c>
      <c r="O513" s="5">
        <v>1.7</v>
      </c>
      <c r="P513" t="s">
        <v>64</v>
      </c>
      <c r="Q513" t="s">
        <v>54</v>
      </c>
      <c r="R513" s="1">
        <v>0.68</v>
      </c>
      <c r="S513" s="6">
        <f t="shared" si="260"/>
        <v>0.68</v>
      </c>
    </row>
    <row r="514" spans="1:19" ht="13.5" x14ac:dyDescent="0.25">
      <c r="A514" t="s">
        <v>1228</v>
      </c>
      <c r="B514" t="s">
        <v>1229</v>
      </c>
      <c r="C514" t="str">
        <f t="shared" si="237"/>
        <v>Ronald Elliott</v>
      </c>
      <c r="D514" t="s">
        <v>31</v>
      </c>
      <c r="E514" s="3" t="str">
        <f t="shared" si="230"/>
        <v>Male</v>
      </c>
      <c r="F514" s="5">
        <v>33</v>
      </c>
      <c r="G514" t="s">
        <v>84</v>
      </c>
      <c r="H514" t="s">
        <v>24</v>
      </c>
      <c r="I514" t="s">
        <v>284</v>
      </c>
      <c r="J514" s="5">
        <v>13</v>
      </c>
      <c r="K514" s="3" t="str" cm="1">
        <f t="array" ref="K514">_xlfn.IFS(J514&lt;=5, "0-5", J514&lt;=10, "6-10", J514&lt;=15, "11-15", J514&lt;=20, "16-20", J514&gt;20, "21+")</f>
        <v>11-15</v>
      </c>
      <c r="L514">
        <v>50</v>
      </c>
      <c r="M514" s="4">
        <f t="shared" si="262"/>
        <v>50</v>
      </c>
      <c r="N514" s="4">
        <f t="shared" si="231"/>
        <v>50</v>
      </c>
      <c r="O514" s="5">
        <v>2.2000000000000002</v>
      </c>
      <c r="P514" t="s">
        <v>64</v>
      </c>
      <c r="Q514" t="s">
        <v>54</v>
      </c>
      <c r="R514" s="1">
        <v>0.7</v>
      </c>
      <c r="S514" s="6">
        <f t="shared" si="260"/>
        <v>0.7</v>
      </c>
    </row>
    <row r="515" spans="1:19" ht="13.5" x14ac:dyDescent="0.25">
      <c r="A515" t="s">
        <v>1230</v>
      </c>
      <c r="B515" t="s">
        <v>1231</v>
      </c>
      <c r="C515" t="str">
        <f t="shared" si="237"/>
        <v>Lorraine Lowery</v>
      </c>
      <c r="D515" t="s">
        <v>301</v>
      </c>
      <c r="E515" s="3" t="str">
        <f t="shared" ref="E515:E578" si="263">IF(LOWER(LEFT(D515,1)) = "f", "Female", "Male")</f>
        <v>Female</v>
      </c>
      <c r="F515" s="5">
        <v>54</v>
      </c>
      <c r="G515" t="s">
        <v>152</v>
      </c>
      <c r="H515" t="s">
        <v>39</v>
      </c>
      <c r="I515" t="s">
        <v>291</v>
      </c>
      <c r="J515" s="5">
        <v>15</v>
      </c>
      <c r="K515" s="3" t="str" cm="1">
        <f t="array" ref="K515">_xlfn.IFS(J515&lt;=5, "0-5", J515&lt;=10, "6-10", J515&lt;=15, "11-15", J515&lt;=20, "16-20", J515&gt;20, "21+")</f>
        <v>11-15</v>
      </c>
      <c r="L515">
        <v>40</v>
      </c>
      <c r="M515" s="4">
        <f t="shared" si="262"/>
        <v>40</v>
      </c>
      <c r="N515" s="4">
        <f t="shared" ref="N515:N578" si="264">IF(M515="","NA",ROUND(M515,0))</f>
        <v>40</v>
      </c>
      <c r="O515" s="5">
        <v>4.0999999999999996</v>
      </c>
      <c r="P515" t="b">
        <v>1</v>
      </c>
      <c r="Q515" t="s">
        <v>28</v>
      </c>
      <c r="R515">
        <v>71</v>
      </c>
      <c r="S515" s="6">
        <f>R515/100</f>
        <v>0.71</v>
      </c>
    </row>
    <row r="516" spans="1:19" ht="13.5" x14ac:dyDescent="0.25">
      <c r="A516" t="s">
        <v>1232</v>
      </c>
      <c r="B516" t="s">
        <v>1233</v>
      </c>
      <c r="C516" t="str">
        <f t="shared" si="237"/>
        <v>Victoria Chapman</v>
      </c>
      <c r="D516" t="s">
        <v>304</v>
      </c>
      <c r="E516" s="3" t="str">
        <f t="shared" si="263"/>
        <v>Female</v>
      </c>
      <c r="F516" s="5">
        <v>33</v>
      </c>
      <c r="G516" t="s">
        <v>183</v>
      </c>
      <c r="H516" t="s">
        <v>39</v>
      </c>
      <c r="I516" t="s">
        <v>292</v>
      </c>
      <c r="J516" s="5">
        <v>2</v>
      </c>
      <c r="K516" s="3" t="str" cm="1">
        <f t="array" ref="K516">_xlfn.IFS(J516&lt;=5, "0-5", J516&lt;=10, "6-10", J516&lt;=15, "11-15", J516&lt;=20, "16-20", J516&gt;20, "21+")</f>
        <v>0-5</v>
      </c>
      <c r="L516" t="s">
        <v>40</v>
      </c>
      <c r="M516" s="4" t="str">
        <f t="shared" ref="M516" si="265">_xlfn.TEXTAFTER(L516, " ")</f>
        <v>100</v>
      </c>
      <c r="N516" s="4">
        <f t="shared" si="264"/>
        <v>100</v>
      </c>
      <c r="O516" s="5">
        <v>3.8</v>
      </c>
      <c r="P516" t="b">
        <v>0</v>
      </c>
      <c r="Q516" t="s">
        <v>54</v>
      </c>
      <c r="S516" s="7"/>
    </row>
    <row r="517" spans="1:19" ht="13.5" x14ac:dyDescent="0.25">
      <c r="A517" t="s">
        <v>1234</v>
      </c>
      <c r="B517" t="s">
        <v>1235</v>
      </c>
      <c r="C517" t="str">
        <f t="shared" si="237"/>
        <v>Heather Davis</v>
      </c>
      <c r="D517" t="s">
        <v>304</v>
      </c>
      <c r="E517" s="3" t="str">
        <f t="shared" si="263"/>
        <v>Female</v>
      </c>
      <c r="F517" s="5">
        <v>36</v>
      </c>
      <c r="G517" t="s">
        <v>88</v>
      </c>
      <c r="H517" t="s">
        <v>89</v>
      </c>
      <c r="I517" t="s">
        <v>284</v>
      </c>
      <c r="J517" s="5">
        <v>9</v>
      </c>
      <c r="K517" s="3" t="str" cm="1">
        <f t="array" ref="K517">_xlfn.IFS(J517&lt;=5, "0-5", J517&lt;=10, "6-10", J517&lt;=15, "11-15", J517&lt;=20, "16-20", J517&gt;20, "21+")</f>
        <v>6-10</v>
      </c>
      <c r="L517" s="2">
        <v>30</v>
      </c>
      <c r="M517" s="4" t="str">
        <f>SUBSTITUTE(L517, "$","")</f>
        <v>30</v>
      </c>
      <c r="N517" s="4">
        <f t="shared" si="264"/>
        <v>30</v>
      </c>
      <c r="O517" s="5">
        <v>0</v>
      </c>
      <c r="P517" t="s">
        <v>27</v>
      </c>
      <c r="Q517" t="s">
        <v>28</v>
      </c>
      <c r="R517" s="1">
        <v>0.78</v>
      </c>
      <c r="S517" s="6">
        <f>R517</f>
        <v>0.78</v>
      </c>
    </row>
    <row r="518" spans="1:19" ht="13.5" x14ac:dyDescent="0.25">
      <c r="A518" t="s">
        <v>213</v>
      </c>
      <c r="B518" t="s">
        <v>214</v>
      </c>
      <c r="C518" t="str">
        <f t="shared" si="237"/>
        <v>Diana Chase</v>
      </c>
      <c r="D518" t="s">
        <v>21</v>
      </c>
      <c r="E518" s="3" t="str">
        <f t="shared" si="263"/>
        <v>Female</v>
      </c>
      <c r="F518" s="5">
        <v>36</v>
      </c>
      <c r="G518" t="s">
        <v>67</v>
      </c>
      <c r="H518" t="s">
        <v>68</v>
      </c>
      <c r="I518" t="s">
        <v>25</v>
      </c>
      <c r="J518" s="5">
        <v>3</v>
      </c>
      <c r="K518" s="3" t="str" cm="1">
        <f t="array" ref="K518">_xlfn.IFS(J518&lt;=5, "0-5", J518&lt;=10, "6-10", J518&lt;=15, "11-15", J518&lt;=20, "16-20", J518&gt;20, "21+")</f>
        <v>0-5</v>
      </c>
      <c r="L518" t="s">
        <v>112</v>
      </c>
      <c r="M518" s="4" t="str">
        <f t="shared" ref="M518" si="266">_xlfn.TEXTAFTER(L518, " ")</f>
        <v>50</v>
      </c>
      <c r="N518" s="4">
        <f t="shared" si="264"/>
        <v>50</v>
      </c>
      <c r="O518" s="5">
        <v>0</v>
      </c>
      <c r="P518" t="s">
        <v>81</v>
      </c>
      <c r="Q518" t="s">
        <v>54</v>
      </c>
      <c r="R518">
        <v>75</v>
      </c>
      <c r="S518" s="6">
        <f>R518/100</f>
        <v>0.75</v>
      </c>
    </row>
    <row r="519" spans="1:19" ht="13.5" x14ac:dyDescent="0.25">
      <c r="A519" t="s">
        <v>209</v>
      </c>
      <c r="B519" t="s">
        <v>210</v>
      </c>
      <c r="C519" t="str">
        <f t="shared" si="237"/>
        <v>Danielle Adkins</v>
      </c>
      <c r="D519" t="s">
        <v>301</v>
      </c>
      <c r="E519" s="3" t="str">
        <f t="shared" si="263"/>
        <v>Female</v>
      </c>
      <c r="F519" s="5">
        <v>43</v>
      </c>
      <c r="G519" t="s">
        <v>165</v>
      </c>
      <c r="H519" t="s">
        <v>166</v>
      </c>
      <c r="I519" t="s">
        <v>25</v>
      </c>
      <c r="J519" s="5">
        <v>15</v>
      </c>
      <c r="K519" s="3" t="str" cm="1">
        <f t="array" ref="K519">_xlfn.IFS(J519&lt;=5, "0-5", J519&lt;=10, "6-10", J519&lt;=15, "11-15", J519&lt;=20, "16-20", J519&gt;20, "21+")</f>
        <v>11-15</v>
      </c>
      <c r="L519" s="2">
        <v>20</v>
      </c>
      <c r="M519" s="4" t="str">
        <f>SUBSTITUTE(L519, "$","")</f>
        <v>20</v>
      </c>
      <c r="N519" s="4">
        <f t="shared" si="264"/>
        <v>20</v>
      </c>
      <c r="O519" s="5">
        <v>4.2</v>
      </c>
      <c r="P519" t="b">
        <v>1</v>
      </c>
      <c r="Q519" t="s">
        <v>28</v>
      </c>
      <c r="R519" s="1">
        <v>0.91</v>
      </c>
      <c r="S519" s="6">
        <f t="shared" ref="S519:S521" si="267">R519</f>
        <v>0.91</v>
      </c>
    </row>
    <row r="520" spans="1:19" ht="13.5" x14ac:dyDescent="0.25">
      <c r="A520" t="s">
        <v>1236</v>
      </c>
      <c r="B520" t="s">
        <v>1237</v>
      </c>
      <c r="C520" t="str">
        <f t="shared" si="237"/>
        <v>Kenneth Arias</v>
      </c>
      <c r="D520" t="s">
        <v>32</v>
      </c>
      <c r="E520" s="3" t="str">
        <f t="shared" si="263"/>
        <v>Male</v>
      </c>
      <c r="F520" s="5">
        <v>52</v>
      </c>
      <c r="G520" t="s">
        <v>152</v>
      </c>
      <c r="H520" t="s">
        <v>39</v>
      </c>
      <c r="I520" t="s">
        <v>291</v>
      </c>
      <c r="J520" s="5">
        <v>21</v>
      </c>
      <c r="K520" s="3" t="str" cm="1">
        <f t="array" ref="K520">_xlfn.IFS(J520&lt;=5, "0-5", J520&lt;=10, "6-10", J520&lt;=15, "11-15", J520&lt;=20, "16-20", J520&gt;20, "21+")</f>
        <v>21+</v>
      </c>
      <c r="L520" t="s">
        <v>92</v>
      </c>
      <c r="M520" s="4" t="str">
        <f t="shared" ref="M520:M521" si="268">_xlfn.TEXTAFTER(L520, " ")</f>
        <v>75</v>
      </c>
      <c r="N520" s="4">
        <f t="shared" si="264"/>
        <v>75</v>
      </c>
      <c r="O520" s="5">
        <v>2.2000000000000002</v>
      </c>
      <c r="P520">
        <v>1</v>
      </c>
      <c r="Q520" t="s">
        <v>28</v>
      </c>
      <c r="R520" s="1">
        <v>0.66</v>
      </c>
      <c r="S520" s="6">
        <f t="shared" si="267"/>
        <v>0.66</v>
      </c>
    </row>
    <row r="521" spans="1:19" ht="13.5" x14ac:dyDescent="0.25">
      <c r="A521" t="s">
        <v>1238</v>
      </c>
      <c r="B521" t="s">
        <v>1239</v>
      </c>
      <c r="C521" t="str">
        <f t="shared" si="237"/>
        <v>Victoria Owen</v>
      </c>
      <c r="D521" t="s">
        <v>301</v>
      </c>
      <c r="E521" s="3" t="str">
        <f t="shared" si="263"/>
        <v>Female</v>
      </c>
      <c r="F521" s="5">
        <v>28</v>
      </c>
      <c r="G521" t="s">
        <v>104</v>
      </c>
      <c r="H521" t="s">
        <v>105</v>
      </c>
      <c r="I521" t="s">
        <v>288</v>
      </c>
      <c r="J521" s="5">
        <v>2</v>
      </c>
      <c r="K521" s="3" t="str" cm="1">
        <f t="array" ref="K521">_xlfn.IFS(J521&lt;=5, "0-5", J521&lt;=10, "6-10", J521&lt;=15, "11-15", J521&lt;=20, "16-20", J521&gt;20, "21+")</f>
        <v>0-5</v>
      </c>
      <c r="L521" t="s">
        <v>92</v>
      </c>
      <c r="M521" s="4" t="str">
        <f t="shared" si="268"/>
        <v>75</v>
      </c>
      <c r="N521" s="4">
        <f t="shared" si="264"/>
        <v>75</v>
      </c>
      <c r="O521" s="5">
        <v>1.5</v>
      </c>
      <c r="P521">
        <v>1</v>
      </c>
      <c r="Q521" t="s">
        <v>28</v>
      </c>
      <c r="R521" s="1">
        <v>0.68</v>
      </c>
      <c r="S521" s="6">
        <f t="shared" si="267"/>
        <v>0.68</v>
      </c>
    </row>
    <row r="522" spans="1:19" ht="13.5" x14ac:dyDescent="0.25">
      <c r="A522" t="s">
        <v>1240</v>
      </c>
      <c r="B522" t="s">
        <v>1241</v>
      </c>
      <c r="C522" t="str">
        <f t="shared" si="237"/>
        <v>Christina King</v>
      </c>
      <c r="D522" t="s">
        <v>22</v>
      </c>
      <c r="E522" s="3" t="str">
        <f t="shared" si="263"/>
        <v>Female</v>
      </c>
      <c r="F522" s="5">
        <v>47</v>
      </c>
      <c r="G522" t="s">
        <v>165</v>
      </c>
      <c r="H522" t="s">
        <v>166</v>
      </c>
      <c r="I522" t="s">
        <v>288</v>
      </c>
      <c r="J522" s="5">
        <v>21</v>
      </c>
      <c r="K522" s="3" t="str" cm="1">
        <f t="array" ref="K522">_xlfn.IFS(J522&lt;=5, "0-5", J522&lt;=10, "6-10", J522&lt;=15, "11-15", J522&lt;=20, "16-20", J522&gt;20, "21+")</f>
        <v>21+</v>
      </c>
      <c r="L522" s="2">
        <v>100</v>
      </c>
      <c r="M522" s="4" t="str">
        <f>SUBSTITUTE(L522, "$","")</f>
        <v>100</v>
      </c>
      <c r="N522" s="4">
        <f t="shared" si="264"/>
        <v>100</v>
      </c>
      <c r="O522" s="5">
        <v>0</v>
      </c>
      <c r="P522" t="s">
        <v>64</v>
      </c>
      <c r="Q522" t="s">
        <v>54</v>
      </c>
      <c r="S522" s="7"/>
    </row>
    <row r="523" spans="1:19" ht="13.5" x14ac:dyDescent="0.25">
      <c r="A523" t="s">
        <v>1242</v>
      </c>
      <c r="B523" t="s">
        <v>1243</v>
      </c>
      <c r="C523" t="str">
        <f t="shared" si="237"/>
        <v>Samantha King</v>
      </c>
      <c r="D523" t="s">
        <v>304</v>
      </c>
      <c r="E523" s="3" t="str">
        <f t="shared" si="263"/>
        <v>Female</v>
      </c>
      <c r="F523" s="5">
        <v>30</v>
      </c>
      <c r="G523" t="s">
        <v>132</v>
      </c>
      <c r="H523" t="s">
        <v>133</v>
      </c>
      <c r="I523" t="s">
        <v>283</v>
      </c>
      <c r="J523" s="5">
        <v>0</v>
      </c>
      <c r="K523" s="3" t="str" cm="1">
        <f t="array" ref="K523">_xlfn.IFS(J523&lt;=5, "0-5", J523&lt;=10, "6-10", J523&lt;=15, "11-15", J523&lt;=20, "16-20", J523&gt;20, "21+")</f>
        <v>0-5</v>
      </c>
      <c r="L523" t="s">
        <v>40</v>
      </c>
      <c r="M523" s="4" t="str">
        <f t="shared" ref="M523" si="269">_xlfn.TEXTAFTER(L523, " ")</f>
        <v>100</v>
      </c>
      <c r="N523" s="4">
        <f t="shared" si="264"/>
        <v>100</v>
      </c>
      <c r="O523" s="5">
        <v>4.0999999999999996</v>
      </c>
      <c r="P523">
        <v>0</v>
      </c>
      <c r="Q523" t="s">
        <v>54</v>
      </c>
      <c r="R523" s="1">
        <v>0.62</v>
      </c>
      <c r="S523" s="6">
        <f t="shared" ref="S523:S528" si="270">R523</f>
        <v>0.62</v>
      </c>
    </row>
    <row r="524" spans="1:19" ht="13.5" x14ac:dyDescent="0.25">
      <c r="A524" t="s">
        <v>1244</v>
      </c>
      <c r="B524" t="s">
        <v>1245</v>
      </c>
      <c r="C524" t="str">
        <f t="shared" si="237"/>
        <v>Scott Compton</v>
      </c>
      <c r="D524" t="s">
        <v>43</v>
      </c>
      <c r="E524" s="3" t="str">
        <f t="shared" si="263"/>
        <v>Male</v>
      </c>
      <c r="F524" s="5">
        <v>36</v>
      </c>
      <c r="G524" t="s">
        <v>117</v>
      </c>
      <c r="H524" t="s">
        <v>118</v>
      </c>
      <c r="I524" t="s">
        <v>292</v>
      </c>
      <c r="J524" s="5">
        <v>4</v>
      </c>
      <c r="K524" s="3" t="str" cm="1">
        <f t="array" ref="K524">_xlfn.IFS(J524&lt;=5, "0-5", J524&lt;=10, "6-10", J524&lt;=15, "11-15", J524&lt;=20, "16-20", J524&gt;20, "21+")</f>
        <v>0-5</v>
      </c>
      <c r="L524">
        <v>40</v>
      </c>
      <c r="M524" s="4">
        <f t="shared" ref="M524:M526" si="271">L524</f>
        <v>40</v>
      </c>
      <c r="N524" s="4">
        <f t="shared" si="264"/>
        <v>40</v>
      </c>
      <c r="O524" s="5">
        <v>2.6</v>
      </c>
      <c r="P524" t="s">
        <v>81</v>
      </c>
      <c r="Q524" t="s">
        <v>54</v>
      </c>
      <c r="R524" s="1">
        <v>0.9</v>
      </c>
      <c r="S524" s="6">
        <f t="shared" si="270"/>
        <v>0.9</v>
      </c>
    </row>
    <row r="525" spans="1:19" ht="13.5" x14ac:dyDescent="0.25">
      <c r="A525" t="s">
        <v>1246</v>
      </c>
      <c r="B525" t="s">
        <v>1247</v>
      </c>
      <c r="C525" t="str">
        <f t="shared" si="237"/>
        <v>Monica West</v>
      </c>
      <c r="D525" t="s">
        <v>21</v>
      </c>
      <c r="E525" s="3" t="str">
        <f t="shared" si="263"/>
        <v>Female</v>
      </c>
      <c r="F525" s="5">
        <v>45</v>
      </c>
      <c r="G525" t="s">
        <v>183</v>
      </c>
      <c r="H525" t="s">
        <v>39</v>
      </c>
      <c r="I525" t="s">
        <v>286</v>
      </c>
      <c r="J525" s="5">
        <v>23</v>
      </c>
      <c r="K525" s="3" t="str" cm="1">
        <f t="array" ref="K525">_xlfn.IFS(J525&lt;=5, "0-5", J525&lt;=10, "6-10", J525&lt;=15, "11-15", J525&lt;=20, "16-20", J525&gt;20, "21+")</f>
        <v>21+</v>
      </c>
      <c r="L525">
        <v>100</v>
      </c>
      <c r="M525" s="4">
        <f t="shared" si="271"/>
        <v>100</v>
      </c>
      <c r="N525" s="4">
        <f t="shared" si="264"/>
        <v>100</v>
      </c>
      <c r="O525" s="5">
        <v>2.4</v>
      </c>
      <c r="P525" t="b">
        <v>0</v>
      </c>
      <c r="Q525" t="s">
        <v>54</v>
      </c>
      <c r="R525" s="1">
        <v>0.96</v>
      </c>
      <c r="S525" s="6">
        <f t="shared" si="270"/>
        <v>0.96</v>
      </c>
    </row>
    <row r="526" spans="1:19" ht="13.5" x14ac:dyDescent="0.25">
      <c r="A526" t="s">
        <v>1248</v>
      </c>
      <c r="B526" t="s">
        <v>1249</v>
      </c>
      <c r="C526" t="str">
        <f t="shared" si="237"/>
        <v>Theresa Stewart</v>
      </c>
      <c r="D526" t="s">
        <v>301</v>
      </c>
      <c r="E526" s="3" t="str">
        <f t="shared" si="263"/>
        <v>Female</v>
      </c>
      <c r="F526" s="5">
        <v>51</v>
      </c>
      <c r="G526" t="s">
        <v>183</v>
      </c>
      <c r="H526" t="s">
        <v>39</v>
      </c>
      <c r="I526" t="s">
        <v>292</v>
      </c>
      <c r="J526" s="5">
        <v>25</v>
      </c>
      <c r="K526" s="3" t="str" cm="1">
        <f t="array" ref="K526">_xlfn.IFS(J526&lt;=5, "0-5", J526&lt;=10, "6-10", J526&lt;=15, "11-15", J526&lt;=20, "16-20", J526&gt;20, "21+")</f>
        <v>21+</v>
      </c>
      <c r="L526">
        <v>50</v>
      </c>
      <c r="M526" s="4">
        <f t="shared" si="271"/>
        <v>50</v>
      </c>
      <c r="N526" s="4">
        <f t="shared" si="264"/>
        <v>50</v>
      </c>
      <c r="O526" s="5">
        <v>1.4</v>
      </c>
      <c r="P526" t="s">
        <v>57</v>
      </c>
      <c r="Q526" t="s">
        <v>28</v>
      </c>
      <c r="R526" s="1">
        <v>0.6</v>
      </c>
      <c r="S526" s="6">
        <f t="shared" si="270"/>
        <v>0.6</v>
      </c>
    </row>
    <row r="527" spans="1:19" ht="13.5" x14ac:dyDescent="0.25">
      <c r="A527" t="s">
        <v>1250</v>
      </c>
      <c r="B527" t="s">
        <v>1251</v>
      </c>
      <c r="C527" t="str">
        <f t="shared" si="237"/>
        <v>Steven Kim</v>
      </c>
      <c r="D527" t="s">
        <v>43</v>
      </c>
      <c r="E527" s="3" t="str">
        <f t="shared" si="263"/>
        <v>Male</v>
      </c>
      <c r="F527" s="5">
        <v>46</v>
      </c>
      <c r="G527" t="s">
        <v>67</v>
      </c>
      <c r="H527" t="s">
        <v>68</v>
      </c>
      <c r="I527" t="s">
        <v>285</v>
      </c>
      <c r="J527" s="5">
        <v>10</v>
      </c>
      <c r="K527" s="3" t="str" cm="1">
        <f t="array" ref="K527">_xlfn.IFS(J527&lt;=5, "0-5", J527&lt;=10, "6-10", J527&lt;=15, "11-15", J527&lt;=20, "16-20", J527&gt;20, "21+")</f>
        <v>6-10</v>
      </c>
      <c r="N527" s="4" t="str">
        <f t="shared" si="264"/>
        <v>NA</v>
      </c>
      <c r="O527" s="5">
        <v>4.5999999999999996</v>
      </c>
      <c r="P527" t="s">
        <v>57</v>
      </c>
      <c r="Q527" t="s">
        <v>28</v>
      </c>
      <c r="R527" s="1">
        <v>0.62</v>
      </c>
      <c r="S527" s="6">
        <f t="shared" si="270"/>
        <v>0.62</v>
      </c>
    </row>
    <row r="528" spans="1:19" ht="13.5" x14ac:dyDescent="0.25">
      <c r="A528" t="s">
        <v>1252</v>
      </c>
      <c r="B528" t="s">
        <v>1253</v>
      </c>
      <c r="C528" t="str">
        <f t="shared" ref="C528:C591" si="272">B528</f>
        <v>Kristi Knight</v>
      </c>
      <c r="D528" t="s">
        <v>21</v>
      </c>
      <c r="E528" s="3" t="str">
        <f t="shared" si="263"/>
        <v>Female</v>
      </c>
      <c r="F528" s="5">
        <v>38</v>
      </c>
      <c r="G528" t="s">
        <v>253</v>
      </c>
      <c r="H528" t="s">
        <v>254</v>
      </c>
      <c r="I528" t="s">
        <v>291</v>
      </c>
      <c r="J528" s="5">
        <v>18</v>
      </c>
      <c r="K528" s="3" t="str" cm="1">
        <f t="array" ref="K528">_xlfn.IFS(J528&lt;=5, "0-5", J528&lt;=10, "6-10", J528&lt;=15, "11-15", J528&lt;=20, "16-20", J528&gt;20, "21+")</f>
        <v>16-20</v>
      </c>
      <c r="L528" t="s">
        <v>99</v>
      </c>
      <c r="M528" s="4" t="str">
        <f t="shared" ref="M528" si="273">_xlfn.TEXTAFTER(L528, " ")</f>
        <v>40</v>
      </c>
      <c r="N528" s="4">
        <f t="shared" si="264"/>
        <v>40</v>
      </c>
      <c r="O528" s="5">
        <v>4.9000000000000004</v>
      </c>
      <c r="P528" t="b">
        <v>0</v>
      </c>
      <c r="Q528" t="s">
        <v>54</v>
      </c>
      <c r="R528" s="1">
        <v>0.74</v>
      </c>
      <c r="S528" s="6">
        <f t="shared" si="270"/>
        <v>0.74</v>
      </c>
    </row>
    <row r="529" spans="1:19" ht="13.5" x14ac:dyDescent="0.25">
      <c r="A529" t="s">
        <v>1254</v>
      </c>
      <c r="B529" t="s">
        <v>1255</v>
      </c>
      <c r="C529" t="str">
        <f t="shared" si="272"/>
        <v>Jason Bryant</v>
      </c>
      <c r="D529" t="s">
        <v>32</v>
      </c>
      <c r="E529" s="3" t="str">
        <f t="shared" si="263"/>
        <v>Male</v>
      </c>
      <c r="F529" s="5">
        <v>26</v>
      </c>
      <c r="G529" t="s">
        <v>84</v>
      </c>
      <c r="H529" t="s">
        <v>24</v>
      </c>
      <c r="I529" t="s">
        <v>292</v>
      </c>
      <c r="J529" s="5">
        <v>1</v>
      </c>
      <c r="K529" s="3" t="str" cm="1">
        <f t="array" ref="K529">_xlfn.IFS(J529&lt;=5, "0-5", J529&lt;=10, "6-10", J529&lt;=15, "11-15", J529&lt;=20, "16-20", J529&gt;20, "21+")</f>
        <v>0-5</v>
      </c>
      <c r="L529" s="2">
        <v>20</v>
      </c>
      <c r="M529" s="4" t="str">
        <f>SUBSTITUTE(L529, "$","")</f>
        <v>20</v>
      </c>
      <c r="N529" s="4">
        <f t="shared" si="264"/>
        <v>20</v>
      </c>
      <c r="O529" s="5">
        <v>0</v>
      </c>
      <c r="P529">
        <v>1</v>
      </c>
      <c r="Q529" t="s">
        <v>28</v>
      </c>
      <c r="S529" s="7"/>
    </row>
    <row r="530" spans="1:19" ht="13.5" x14ac:dyDescent="0.25">
      <c r="A530" t="s">
        <v>1256</v>
      </c>
      <c r="B530" t="s">
        <v>1257</v>
      </c>
      <c r="C530" t="str">
        <f t="shared" si="272"/>
        <v>Maureen Keith</v>
      </c>
      <c r="D530" t="s">
        <v>22</v>
      </c>
      <c r="E530" s="3" t="str">
        <f t="shared" si="263"/>
        <v>Female</v>
      </c>
      <c r="F530" s="5">
        <v>40</v>
      </c>
      <c r="G530" t="s">
        <v>152</v>
      </c>
      <c r="H530" t="s">
        <v>39</v>
      </c>
      <c r="I530" t="s">
        <v>283</v>
      </c>
      <c r="J530" s="5">
        <v>12</v>
      </c>
      <c r="K530" s="3" t="str" cm="1">
        <f t="array" ref="K530">_xlfn.IFS(J530&lt;=5, "0-5", J530&lt;=10, "6-10", J530&lt;=15, "11-15", J530&lt;=20, "16-20", J530&gt;20, "21+")</f>
        <v>11-15</v>
      </c>
      <c r="L530">
        <v>30</v>
      </c>
      <c r="M530" s="4">
        <f>L530</f>
        <v>30</v>
      </c>
      <c r="N530" s="4">
        <f t="shared" si="264"/>
        <v>30</v>
      </c>
      <c r="O530" s="5">
        <v>3.5</v>
      </c>
      <c r="R530" s="1">
        <v>0.98</v>
      </c>
      <c r="S530" s="6">
        <f t="shared" ref="S530:S531" si="274">R530</f>
        <v>0.98</v>
      </c>
    </row>
    <row r="531" spans="1:19" ht="13.5" x14ac:dyDescent="0.25">
      <c r="A531" t="s">
        <v>1258</v>
      </c>
      <c r="B531" t="s">
        <v>1259</v>
      </c>
      <c r="C531" t="str">
        <f t="shared" si="272"/>
        <v>Shawn Hogan</v>
      </c>
      <c r="D531" t="s">
        <v>32</v>
      </c>
      <c r="E531" s="3" t="str">
        <f t="shared" si="263"/>
        <v>Male</v>
      </c>
      <c r="F531" s="5">
        <v>37</v>
      </c>
      <c r="G531" t="s">
        <v>33</v>
      </c>
      <c r="H531" t="s">
        <v>34</v>
      </c>
      <c r="I531" t="s">
        <v>284</v>
      </c>
      <c r="K531" s="3" t="str" cm="1">
        <f t="array" ref="K531">_xlfn.IFS(J531&lt;=5, "0-5", J531&lt;=10, "6-10", J531&lt;=15, "11-15", J531&lt;=20, "16-20", J531&gt;20, "21+")</f>
        <v>0-5</v>
      </c>
      <c r="N531" s="4" t="str">
        <f t="shared" si="264"/>
        <v>NA</v>
      </c>
      <c r="O531" s="5">
        <v>1.7</v>
      </c>
      <c r="P531" t="s">
        <v>27</v>
      </c>
      <c r="Q531" t="s">
        <v>28</v>
      </c>
      <c r="R531" s="1">
        <v>0.63</v>
      </c>
      <c r="S531" s="6">
        <f t="shared" si="274"/>
        <v>0.63</v>
      </c>
    </row>
    <row r="532" spans="1:19" ht="13.5" x14ac:dyDescent="0.25">
      <c r="A532" t="s">
        <v>1260</v>
      </c>
      <c r="B532" t="s">
        <v>1261</v>
      </c>
      <c r="C532" t="str">
        <f t="shared" si="272"/>
        <v>William Davis</v>
      </c>
      <c r="D532" t="s">
        <v>328</v>
      </c>
      <c r="E532" s="3" t="str">
        <f t="shared" si="263"/>
        <v>Male</v>
      </c>
      <c r="F532" s="5">
        <v>28</v>
      </c>
      <c r="G532" t="s">
        <v>125</v>
      </c>
      <c r="H532" t="s">
        <v>39</v>
      </c>
      <c r="I532" t="s">
        <v>292</v>
      </c>
      <c r="J532" s="5">
        <v>5</v>
      </c>
      <c r="K532" s="3" t="str" cm="1">
        <f t="array" ref="K532">_xlfn.IFS(J532&lt;=5, "0-5", J532&lt;=10, "6-10", J532&lt;=15, "11-15", J532&lt;=20, "16-20", J532&gt;20, "21+")</f>
        <v>0-5</v>
      </c>
      <c r="L532" s="2">
        <v>50</v>
      </c>
      <c r="M532" s="4" t="str">
        <f>SUBSTITUTE(L532, "$","")</f>
        <v>50</v>
      </c>
      <c r="N532" s="4">
        <f t="shared" si="264"/>
        <v>50</v>
      </c>
      <c r="O532" s="5">
        <v>0</v>
      </c>
      <c r="P532" t="s">
        <v>27</v>
      </c>
      <c r="Q532" t="s">
        <v>28</v>
      </c>
      <c r="R532">
        <v>96</v>
      </c>
      <c r="S532" s="6">
        <f>R532/100</f>
        <v>0.96</v>
      </c>
    </row>
    <row r="533" spans="1:19" ht="13.5" x14ac:dyDescent="0.25">
      <c r="A533" t="s">
        <v>1262</v>
      </c>
      <c r="B533" t="s">
        <v>1263</v>
      </c>
      <c r="C533" t="str">
        <f t="shared" si="272"/>
        <v>Stacy Bailey</v>
      </c>
      <c r="D533" t="s">
        <v>304</v>
      </c>
      <c r="E533" s="3" t="str">
        <f t="shared" si="263"/>
        <v>Female</v>
      </c>
      <c r="F533" s="5">
        <v>48</v>
      </c>
      <c r="G533" t="s">
        <v>146</v>
      </c>
      <c r="H533" t="s">
        <v>147</v>
      </c>
      <c r="I533" t="s">
        <v>285</v>
      </c>
      <c r="J533" s="5">
        <v>28</v>
      </c>
      <c r="K533" s="3" t="str" cm="1">
        <f t="array" ref="K533">_xlfn.IFS(J533&lt;=5, "0-5", J533&lt;=10, "6-10", J533&lt;=15, "11-15", J533&lt;=20, "16-20", J533&gt;20, "21+")</f>
        <v>21+</v>
      </c>
      <c r="L533" t="s">
        <v>78</v>
      </c>
      <c r="M533" s="4" t="str">
        <f t="shared" ref="M533" si="275">_xlfn.TEXTAFTER(L533, " ")</f>
        <v>20</v>
      </c>
      <c r="N533" s="4">
        <f t="shared" si="264"/>
        <v>20</v>
      </c>
      <c r="O533" s="5">
        <v>0</v>
      </c>
      <c r="P533">
        <v>0</v>
      </c>
      <c r="Q533" t="s">
        <v>54</v>
      </c>
      <c r="R533" s="1">
        <v>0.88</v>
      </c>
      <c r="S533" s="6">
        <f>R533</f>
        <v>0.88</v>
      </c>
    </row>
    <row r="534" spans="1:19" ht="13.5" x14ac:dyDescent="0.25">
      <c r="A534" t="s">
        <v>205</v>
      </c>
      <c r="B534" t="s">
        <v>206</v>
      </c>
      <c r="C534" t="str">
        <f t="shared" si="272"/>
        <v>Thomas Dixon</v>
      </c>
      <c r="D534" t="s">
        <v>311</v>
      </c>
      <c r="E534" s="3" t="str">
        <f t="shared" si="263"/>
        <v>Male</v>
      </c>
      <c r="F534" s="5">
        <v>22</v>
      </c>
      <c r="G534" t="s">
        <v>146</v>
      </c>
      <c r="H534" t="s">
        <v>147</v>
      </c>
      <c r="I534" t="s">
        <v>25</v>
      </c>
      <c r="J534" s="5">
        <v>0</v>
      </c>
      <c r="K534" s="3" t="str" cm="1">
        <f t="array" ref="K534">_xlfn.IFS(J534&lt;=5, "0-5", J534&lt;=10, "6-10", J534&lt;=15, "11-15", J534&lt;=20, "16-20", J534&gt;20, "21+")</f>
        <v>0-5</v>
      </c>
      <c r="N534" s="4" t="str">
        <f t="shared" si="264"/>
        <v>NA</v>
      </c>
      <c r="O534" s="5">
        <v>4.5999999999999996</v>
      </c>
      <c r="P534" t="b">
        <v>0</v>
      </c>
      <c r="Q534" t="s">
        <v>54</v>
      </c>
      <c r="S534" s="7"/>
    </row>
    <row r="535" spans="1:19" ht="13.5" x14ac:dyDescent="0.25">
      <c r="A535" t="s">
        <v>1264</v>
      </c>
      <c r="B535" t="s">
        <v>1265</v>
      </c>
      <c r="C535" t="str">
        <f t="shared" si="272"/>
        <v>Maria Hall</v>
      </c>
      <c r="D535" t="s">
        <v>304</v>
      </c>
      <c r="E535" s="3" t="str">
        <f t="shared" si="263"/>
        <v>Female</v>
      </c>
      <c r="F535" s="5">
        <v>41</v>
      </c>
      <c r="G535" t="s">
        <v>33</v>
      </c>
      <c r="H535" t="s">
        <v>34</v>
      </c>
      <c r="I535" t="s">
        <v>290</v>
      </c>
      <c r="J535" s="5">
        <v>14</v>
      </c>
      <c r="K535" s="3" t="str" cm="1">
        <f t="array" ref="K535">_xlfn.IFS(J535&lt;=5, "0-5", J535&lt;=10, "6-10", J535&lt;=15, "11-15", J535&lt;=20, "16-20", J535&gt;20, "21+")</f>
        <v>11-15</v>
      </c>
      <c r="L535">
        <v>40</v>
      </c>
      <c r="M535" s="4">
        <f>L535</f>
        <v>40</v>
      </c>
      <c r="N535" s="4">
        <f t="shared" si="264"/>
        <v>40</v>
      </c>
      <c r="O535" s="5">
        <v>1.1000000000000001</v>
      </c>
      <c r="P535" t="b">
        <v>1</v>
      </c>
      <c r="Q535" t="s">
        <v>28</v>
      </c>
      <c r="R535" s="1">
        <v>0.73</v>
      </c>
      <c r="S535" s="6">
        <f t="shared" ref="S535:S538" si="276">R535</f>
        <v>0.73</v>
      </c>
    </row>
    <row r="536" spans="1:19" ht="13.5" x14ac:dyDescent="0.25">
      <c r="A536" t="s">
        <v>1266</v>
      </c>
      <c r="B536" t="s">
        <v>1267</v>
      </c>
      <c r="C536" t="str">
        <f t="shared" si="272"/>
        <v>Tony Lee</v>
      </c>
      <c r="D536" t="s">
        <v>311</v>
      </c>
      <c r="E536" s="3" t="str">
        <f t="shared" si="263"/>
        <v>Male</v>
      </c>
      <c r="F536" s="5">
        <v>38</v>
      </c>
      <c r="G536" t="s">
        <v>183</v>
      </c>
      <c r="H536" t="s">
        <v>39</v>
      </c>
      <c r="I536" t="s">
        <v>287</v>
      </c>
      <c r="J536" s="5">
        <v>15</v>
      </c>
      <c r="K536" s="3" t="str" cm="1">
        <f t="array" ref="K536">_xlfn.IFS(J536&lt;=5, "0-5", J536&lt;=10, "6-10", J536&lt;=15, "11-15", J536&lt;=20, "16-20", J536&gt;20, "21+")</f>
        <v>11-15</v>
      </c>
      <c r="N536" s="4" t="str">
        <f t="shared" si="264"/>
        <v>NA</v>
      </c>
      <c r="O536" s="5">
        <v>4.2</v>
      </c>
      <c r="P536">
        <v>0</v>
      </c>
      <c r="Q536" t="s">
        <v>54</v>
      </c>
      <c r="R536" s="1">
        <v>0.88</v>
      </c>
      <c r="S536" s="6">
        <f t="shared" si="276"/>
        <v>0.88</v>
      </c>
    </row>
    <row r="537" spans="1:19" ht="13.5" x14ac:dyDescent="0.25">
      <c r="A537" t="s">
        <v>1268</v>
      </c>
      <c r="B537" t="s">
        <v>1269</v>
      </c>
      <c r="C537" t="str">
        <f t="shared" si="272"/>
        <v>Catherine Mccoy MD</v>
      </c>
      <c r="D537" t="s">
        <v>21</v>
      </c>
      <c r="E537" s="3" t="str">
        <f t="shared" si="263"/>
        <v>Female</v>
      </c>
      <c r="F537" s="5">
        <v>31</v>
      </c>
      <c r="G537" t="s">
        <v>177</v>
      </c>
      <c r="H537" t="s">
        <v>178</v>
      </c>
      <c r="I537" t="s">
        <v>286</v>
      </c>
      <c r="J537" s="5">
        <v>9</v>
      </c>
      <c r="K537" s="3" t="str" cm="1">
        <f t="array" ref="K537">_xlfn.IFS(J537&lt;=5, "0-5", J537&lt;=10, "6-10", J537&lt;=15, "11-15", J537&lt;=20, "16-20", J537&gt;20, "21+")</f>
        <v>6-10</v>
      </c>
      <c r="N537" s="4" t="str">
        <f t="shared" si="264"/>
        <v>NA</v>
      </c>
      <c r="O537" s="5">
        <v>0</v>
      </c>
      <c r="P537" t="b">
        <v>0</v>
      </c>
      <c r="Q537" t="s">
        <v>54</v>
      </c>
      <c r="R537" s="1">
        <v>0.91</v>
      </c>
      <c r="S537" s="6">
        <f t="shared" si="276"/>
        <v>0.91</v>
      </c>
    </row>
    <row r="538" spans="1:19" ht="13.5" x14ac:dyDescent="0.25">
      <c r="A538" t="s">
        <v>1270</v>
      </c>
      <c r="B538" t="s">
        <v>1271</v>
      </c>
      <c r="C538" t="str">
        <f t="shared" si="272"/>
        <v>Maria Benitez</v>
      </c>
      <c r="D538" t="s">
        <v>301</v>
      </c>
      <c r="E538" s="3" t="str">
        <f t="shared" si="263"/>
        <v>Female</v>
      </c>
      <c r="F538" s="5">
        <v>30</v>
      </c>
      <c r="G538" t="s">
        <v>165</v>
      </c>
      <c r="H538" t="s">
        <v>166</v>
      </c>
      <c r="I538" t="s">
        <v>285</v>
      </c>
      <c r="J538" s="5">
        <v>9</v>
      </c>
      <c r="K538" s="3" t="str" cm="1">
        <f t="array" ref="K538">_xlfn.IFS(J538&lt;=5, "0-5", J538&lt;=10, "6-10", J538&lt;=15, "11-15", J538&lt;=20, "16-20", J538&gt;20, "21+")</f>
        <v>6-10</v>
      </c>
      <c r="L538" s="2">
        <v>30</v>
      </c>
      <c r="M538" s="4" t="str">
        <f>SUBSTITUTE(L538, "$","")</f>
        <v>30</v>
      </c>
      <c r="N538" s="4">
        <f t="shared" si="264"/>
        <v>30</v>
      </c>
      <c r="O538" s="5">
        <v>3.9</v>
      </c>
      <c r="P538" t="s">
        <v>81</v>
      </c>
      <c r="Q538" t="s">
        <v>54</v>
      </c>
      <c r="R538" s="1">
        <v>0.65</v>
      </c>
      <c r="S538" s="6">
        <f t="shared" si="276"/>
        <v>0.65</v>
      </c>
    </row>
    <row r="539" spans="1:19" ht="13.5" x14ac:dyDescent="0.25">
      <c r="A539" t="s">
        <v>1272</v>
      </c>
      <c r="B539" t="s">
        <v>1273</v>
      </c>
      <c r="C539" t="str">
        <f t="shared" si="272"/>
        <v>Joshua Chambers</v>
      </c>
      <c r="D539" t="s">
        <v>311</v>
      </c>
      <c r="E539" s="3" t="str">
        <f t="shared" si="263"/>
        <v>Male</v>
      </c>
      <c r="F539" s="5">
        <v>51</v>
      </c>
      <c r="G539" t="s">
        <v>44</v>
      </c>
      <c r="H539" t="s">
        <v>24</v>
      </c>
      <c r="I539" t="s">
        <v>286</v>
      </c>
      <c r="J539" s="5">
        <v>22</v>
      </c>
      <c r="K539" s="3" t="str" cm="1">
        <f t="array" ref="K539">_xlfn.IFS(J539&lt;=5, "0-5", J539&lt;=10, "6-10", J539&lt;=15, "11-15", J539&lt;=20, "16-20", J539&gt;20, "21+")</f>
        <v>21+</v>
      </c>
      <c r="L539">
        <v>20</v>
      </c>
      <c r="M539" s="4">
        <f>L539</f>
        <v>20</v>
      </c>
      <c r="N539" s="4">
        <f t="shared" si="264"/>
        <v>20</v>
      </c>
      <c r="O539" s="5">
        <v>3.4</v>
      </c>
      <c r="P539" t="b">
        <v>1</v>
      </c>
      <c r="Q539" t="s">
        <v>28</v>
      </c>
      <c r="R539">
        <v>90</v>
      </c>
      <c r="S539" s="6">
        <f>R539/100</f>
        <v>0.9</v>
      </c>
    </row>
    <row r="540" spans="1:19" ht="13.5" x14ac:dyDescent="0.25">
      <c r="A540" t="s">
        <v>1274</v>
      </c>
      <c r="B540" t="s">
        <v>1275</v>
      </c>
      <c r="C540" t="str">
        <f t="shared" si="272"/>
        <v>Janice Daniels</v>
      </c>
      <c r="D540" t="s">
        <v>37</v>
      </c>
      <c r="E540" s="3" t="str">
        <f t="shared" si="263"/>
        <v>Female</v>
      </c>
      <c r="F540" s="5">
        <v>21</v>
      </c>
      <c r="G540" t="s">
        <v>33</v>
      </c>
      <c r="H540" t="s">
        <v>34</v>
      </c>
      <c r="I540" t="s">
        <v>283</v>
      </c>
      <c r="J540" s="5">
        <v>0</v>
      </c>
      <c r="K540" s="3" t="str" cm="1">
        <f t="array" ref="K540">_xlfn.IFS(J540&lt;=5, "0-5", J540&lt;=10, "6-10", J540&lt;=15, "11-15", J540&lt;=20, "16-20", J540&gt;20, "21+")</f>
        <v>0-5</v>
      </c>
      <c r="L540" s="2">
        <v>20</v>
      </c>
      <c r="M540" s="4" t="str">
        <f>SUBSTITUTE(L540, "$","")</f>
        <v>20</v>
      </c>
      <c r="N540" s="4">
        <f t="shared" si="264"/>
        <v>20</v>
      </c>
      <c r="O540" s="5">
        <v>2.6</v>
      </c>
      <c r="P540" t="s">
        <v>64</v>
      </c>
      <c r="Q540" t="s">
        <v>54</v>
      </c>
      <c r="R540" s="1">
        <v>0.72</v>
      </c>
      <c r="S540" s="6">
        <f t="shared" ref="S540:S541" si="277">R540</f>
        <v>0.72</v>
      </c>
    </row>
    <row r="541" spans="1:19" ht="13.5" x14ac:dyDescent="0.25">
      <c r="A541" t="s">
        <v>1276</v>
      </c>
      <c r="B541" t="s">
        <v>1277</v>
      </c>
      <c r="C541" t="str">
        <f t="shared" si="272"/>
        <v>Carla Wood</v>
      </c>
      <c r="D541" t="s">
        <v>21</v>
      </c>
      <c r="E541" s="3" t="str">
        <f t="shared" si="263"/>
        <v>Female</v>
      </c>
      <c r="F541" s="5">
        <v>20</v>
      </c>
      <c r="G541" t="s">
        <v>253</v>
      </c>
      <c r="H541" t="s">
        <v>254</v>
      </c>
      <c r="I541" t="s">
        <v>283</v>
      </c>
      <c r="J541" s="5">
        <v>1</v>
      </c>
      <c r="K541" s="3" t="str" cm="1">
        <f t="array" ref="K541">_xlfn.IFS(J541&lt;=5, "0-5", J541&lt;=10, "6-10", J541&lt;=15, "11-15", J541&lt;=20, "16-20", J541&gt;20, "21+")</f>
        <v>0-5</v>
      </c>
      <c r="L541" t="s">
        <v>99</v>
      </c>
      <c r="M541" s="4" t="str">
        <f t="shared" ref="M541" si="278">_xlfn.TEXTAFTER(L541, " ")</f>
        <v>40</v>
      </c>
      <c r="N541" s="4">
        <f t="shared" si="264"/>
        <v>40</v>
      </c>
      <c r="O541" s="5">
        <v>2.2999999999999998</v>
      </c>
      <c r="P541">
        <v>1</v>
      </c>
      <c r="Q541" t="s">
        <v>28</v>
      </c>
      <c r="R541" s="1">
        <v>0.72</v>
      </c>
      <c r="S541" s="6">
        <f t="shared" si="277"/>
        <v>0.72</v>
      </c>
    </row>
    <row r="542" spans="1:19" ht="13.5" x14ac:dyDescent="0.25">
      <c r="A542" t="s">
        <v>1278</v>
      </c>
      <c r="B542" t="s">
        <v>1279</v>
      </c>
      <c r="C542" t="str">
        <f t="shared" si="272"/>
        <v>Kenneth Vasquez</v>
      </c>
      <c r="D542" t="s">
        <v>32</v>
      </c>
      <c r="E542" s="3" t="str">
        <f t="shared" si="263"/>
        <v>Male</v>
      </c>
      <c r="F542" s="5">
        <v>30</v>
      </c>
      <c r="G542" t="s">
        <v>88</v>
      </c>
      <c r="H542" t="s">
        <v>89</v>
      </c>
      <c r="I542" t="s">
        <v>292</v>
      </c>
      <c r="J542" s="5">
        <v>5</v>
      </c>
      <c r="K542" s="3" t="str" cm="1">
        <f t="array" ref="K542">_xlfn.IFS(J542&lt;=5, "0-5", J542&lt;=10, "6-10", J542&lt;=15, "11-15", J542&lt;=20, "16-20", J542&gt;20, "21+")</f>
        <v>0-5</v>
      </c>
      <c r="L542" s="2">
        <v>30</v>
      </c>
      <c r="M542" s="4" t="str">
        <f>SUBSTITUTE(L542, "$","")</f>
        <v>30</v>
      </c>
      <c r="N542" s="4">
        <f t="shared" si="264"/>
        <v>30</v>
      </c>
      <c r="O542" s="5">
        <v>4.8</v>
      </c>
      <c r="P542" t="s">
        <v>64</v>
      </c>
      <c r="Q542" t="s">
        <v>54</v>
      </c>
      <c r="S542" s="7"/>
    </row>
    <row r="543" spans="1:19" ht="13.5" x14ac:dyDescent="0.25">
      <c r="A543" t="s">
        <v>1280</v>
      </c>
      <c r="B543" t="s">
        <v>1281</v>
      </c>
      <c r="C543" t="str">
        <f t="shared" si="272"/>
        <v>Kevin Smith</v>
      </c>
      <c r="D543" t="s">
        <v>311</v>
      </c>
      <c r="E543" s="3" t="str">
        <f t="shared" si="263"/>
        <v>Male</v>
      </c>
      <c r="F543" s="5">
        <v>41</v>
      </c>
      <c r="G543" t="s">
        <v>165</v>
      </c>
      <c r="H543" t="s">
        <v>166</v>
      </c>
      <c r="I543" t="s">
        <v>291</v>
      </c>
      <c r="J543" s="5">
        <v>0</v>
      </c>
      <c r="K543" s="3" t="str" cm="1">
        <f t="array" ref="K543">_xlfn.IFS(J543&lt;=5, "0-5", J543&lt;=10, "6-10", J543&lt;=15, "11-15", J543&lt;=20, "16-20", J543&gt;20, "21+")</f>
        <v>0-5</v>
      </c>
      <c r="L543" t="s">
        <v>99</v>
      </c>
      <c r="M543" s="4" t="str">
        <f t="shared" ref="M543" si="279">_xlfn.TEXTAFTER(L543, " ")</f>
        <v>40</v>
      </c>
      <c r="N543" s="4">
        <f t="shared" si="264"/>
        <v>40</v>
      </c>
      <c r="O543" s="5">
        <v>4.5</v>
      </c>
      <c r="P543" t="s">
        <v>64</v>
      </c>
      <c r="Q543" t="s">
        <v>54</v>
      </c>
      <c r="R543" s="1">
        <v>0.68</v>
      </c>
      <c r="S543" s="6">
        <f t="shared" ref="S543:S546" si="280">R543</f>
        <v>0.68</v>
      </c>
    </row>
    <row r="544" spans="1:19" ht="13.5" x14ac:dyDescent="0.25">
      <c r="A544" t="s">
        <v>1282</v>
      </c>
      <c r="B544" t="s">
        <v>1283</v>
      </c>
      <c r="C544" t="str">
        <f t="shared" si="272"/>
        <v>Thomas Kim</v>
      </c>
      <c r="D544" t="s">
        <v>32</v>
      </c>
      <c r="E544" s="3" t="str">
        <f t="shared" si="263"/>
        <v>Male</v>
      </c>
      <c r="F544" s="5">
        <v>22</v>
      </c>
      <c r="G544" t="s">
        <v>84</v>
      </c>
      <c r="H544" t="s">
        <v>24</v>
      </c>
      <c r="I544" t="s">
        <v>292</v>
      </c>
      <c r="J544" s="5">
        <v>0</v>
      </c>
      <c r="K544" s="3" t="str" cm="1">
        <f t="array" ref="K544">_xlfn.IFS(J544&lt;=5, "0-5", J544&lt;=10, "6-10", J544&lt;=15, "11-15", J544&lt;=20, "16-20", J544&gt;20, "21+")</f>
        <v>0-5</v>
      </c>
      <c r="L544" s="2">
        <v>30</v>
      </c>
      <c r="M544" s="4" t="str">
        <f>SUBSTITUTE(L544, "$","")</f>
        <v>30</v>
      </c>
      <c r="N544" s="4">
        <f t="shared" si="264"/>
        <v>30</v>
      </c>
      <c r="O544" s="5">
        <v>0</v>
      </c>
      <c r="P544">
        <v>0</v>
      </c>
      <c r="Q544" t="s">
        <v>54</v>
      </c>
      <c r="R544" s="1">
        <v>0.87</v>
      </c>
      <c r="S544" s="6">
        <f t="shared" si="280"/>
        <v>0.87</v>
      </c>
    </row>
    <row r="545" spans="1:19" ht="13.5" x14ac:dyDescent="0.25">
      <c r="A545" t="s">
        <v>1284</v>
      </c>
      <c r="B545" t="s">
        <v>1285</v>
      </c>
      <c r="C545" t="str">
        <f t="shared" si="272"/>
        <v>Sean Park</v>
      </c>
      <c r="D545" t="s">
        <v>311</v>
      </c>
      <c r="E545" s="3" t="str">
        <f t="shared" si="263"/>
        <v>Male</v>
      </c>
      <c r="F545" s="5">
        <v>45</v>
      </c>
      <c r="G545" t="s">
        <v>44</v>
      </c>
      <c r="H545" t="s">
        <v>24</v>
      </c>
      <c r="I545" t="s">
        <v>288</v>
      </c>
      <c r="J545" s="5">
        <v>19</v>
      </c>
      <c r="K545" s="3" t="str" cm="1">
        <f t="array" ref="K545">_xlfn.IFS(J545&lt;=5, "0-5", J545&lt;=10, "6-10", J545&lt;=15, "11-15", J545&lt;=20, "16-20", J545&gt;20, "21+")</f>
        <v>16-20</v>
      </c>
      <c r="L545">
        <v>75</v>
      </c>
      <c r="M545" s="4">
        <f t="shared" ref="M545:M550" si="281">L545</f>
        <v>75</v>
      </c>
      <c r="N545" s="4">
        <f t="shared" si="264"/>
        <v>75</v>
      </c>
      <c r="O545" s="5">
        <v>0</v>
      </c>
      <c r="P545" t="s">
        <v>81</v>
      </c>
      <c r="Q545" t="s">
        <v>54</v>
      </c>
      <c r="R545" s="1">
        <v>0.72</v>
      </c>
      <c r="S545" s="6">
        <f t="shared" si="280"/>
        <v>0.72</v>
      </c>
    </row>
    <row r="546" spans="1:19" ht="13.5" x14ac:dyDescent="0.25">
      <c r="A546" t="s">
        <v>1286</v>
      </c>
      <c r="B546" t="s">
        <v>1287</v>
      </c>
      <c r="C546" t="str">
        <f t="shared" si="272"/>
        <v>Judith Poole</v>
      </c>
      <c r="D546" t="s">
        <v>22</v>
      </c>
      <c r="E546" s="3" t="str">
        <f t="shared" si="263"/>
        <v>Female</v>
      </c>
      <c r="F546" s="5">
        <v>22</v>
      </c>
      <c r="G546" t="s">
        <v>38</v>
      </c>
      <c r="H546" t="s">
        <v>39</v>
      </c>
      <c r="I546" t="s">
        <v>291</v>
      </c>
      <c r="J546" s="5">
        <v>2</v>
      </c>
      <c r="K546" s="3" t="str" cm="1">
        <f t="array" ref="K546">_xlfn.IFS(J546&lt;=5, "0-5", J546&lt;=10, "6-10", J546&lt;=15, "11-15", J546&lt;=20, "16-20", J546&gt;20, "21+")</f>
        <v>0-5</v>
      </c>
      <c r="L546">
        <v>40</v>
      </c>
      <c r="M546" s="4">
        <f t="shared" si="281"/>
        <v>40</v>
      </c>
      <c r="N546" s="4">
        <f t="shared" si="264"/>
        <v>40</v>
      </c>
      <c r="O546" s="5">
        <v>1.1000000000000001</v>
      </c>
      <c r="P546" t="s">
        <v>81</v>
      </c>
      <c r="Q546" t="s">
        <v>54</v>
      </c>
      <c r="R546" s="1">
        <v>0.76</v>
      </c>
      <c r="S546" s="6">
        <f t="shared" si="280"/>
        <v>0.76</v>
      </c>
    </row>
    <row r="547" spans="1:19" ht="13.5" x14ac:dyDescent="0.25">
      <c r="A547" t="s">
        <v>1288</v>
      </c>
      <c r="B547" t="s">
        <v>1289</v>
      </c>
      <c r="C547" t="str">
        <f t="shared" si="272"/>
        <v>Melanie Baird</v>
      </c>
      <c r="D547" t="s">
        <v>37</v>
      </c>
      <c r="E547" s="3" t="str">
        <f t="shared" si="263"/>
        <v>Female</v>
      </c>
      <c r="F547" s="5">
        <v>20</v>
      </c>
      <c r="G547" t="s">
        <v>67</v>
      </c>
      <c r="H547" t="s">
        <v>68</v>
      </c>
      <c r="I547" t="s">
        <v>285</v>
      </c>
      <c r="J547" s="5">
        <v>0</v>
      </c>
      <c r="K547" s="3" t="str" cm="1">
        <f t="array" ref="K547">_xlfn.IFS(J547&lt;=5, "0-5", J547&lt;=10, "6-10", J547&lt;=15, "11-15", J547&lt;=20, "16-20", J547&gt;20, "21+")</f>
        <v>0-5</v>
      </c>
      <c r="L547">
        <v>100</v>
      </c>
      <c r="M547" s="4">
        <f t="shared" si="281"/>
        <v>100</v>
      </c>
      <c r="N547" s="4">
        <f t="shared" si="264"/>
        <v>100</v>
      </c>
      <c r="O547" s="5">
        <v>0</v>
      </c>
      <c r="P547">
        <v>0</v>
      </c>
      <c r="Q547" t="s">
        <v>54</v>
      </c>
      <c r="R547">
        <v>63</v>
      </c>
      <c r="S547" s="6">
        <f>R547/100</f>
        <v>0.63</v>
      </c>
    </row>
    <row r="548" spans="1:19" ht="13.5" x14ac:dyDescent="0.25">
      <c r="A548" t="s">
        <v>1290</v>
      </c>
      <c r="B548" t="s">
        <v>1291</v>
      </c>
      <c r="C548" t="str">
        <f t="shared" si="272"/>
        <v>Erika Mitchell</v>
      </c>
      <c r="D548" t="s">
        <v>21</v>
      </c>
      <c r="E548" s="3" t="str">
        <f t="shared" si="263"/>
        <v>Female</v>
      </c>
      <c r="F548" s="5">
        <v>20</v>
      </c>
      <c r="G548" t="s">
        <v>125</v>
      </c>
      <c r="H548" t="s">
        <v>39</v>
      </c>
      <c r="I548" t="s">
        <v>291</v>
      </c>
      <c r="J548" s="5">
        <v>2</v>
      </c>
      <c r="K548" s="3" t="str" cm="1">
        <f t="array" ref="K548">_xlfn.IFS(J548&lt;=5, "0-5", J548&lt;=10, "6-10", J548&lt;=15, "11-15", J548&lt;=20, "16-20", J548&gt;20, "21+")</f>
        <v>0-5</v>
      </c>
      <c r="L548">
        <v>40</v>
      </c>
      <c r="M548" s="4">
        <f t="shared" si="281"/>
        <v>40</v>
      </c>
      <c r="N548" s="4">
        <f t="shared" si="264"/>
        <v>40</v>
      </c>
      <c r="P548">
        <v>1</v>
      </c>
      <c r="Q548" t="s">
        <v>28</v>
      </c>
      <c r="R548" s="1">
        <v>0.91</v>
      </c>
      <c r="S548" s="6">
        <f t="shared" ref="S548:S551" si="282">R548</f>
        <v>0.91</v>
      </c>
    </row>
    <row r="549" spans="1:19" ht="13.5" x14ac:dyDescent="0.25">
      <c r="A549" t="s">
        <v>203</v>
      </c>
      <c r="B549" t="s">
        <v>204</v>
      </c>
      <c r="C549" t="str">
        <f t="shared" si="272"/>
        <v>Ricky Martinez</v>
      </c>
      <c r="D549" t="s">
        <v>328</v>
      </c>
      <c r="E549" s="3" t="str">
        <f t="shared" si="263"/>
        <v>Male</v>
      </c>
      <c r="F549" s="5">
        <v>21</v>
      </c>
      <c r="G549" t="s">
        <v>152</v>
      </c>
      <c r="H549" t="s">
        <v>39</v>
      </c>
      <c r="I549" t="s">
        <v>25</v>
      </c>
      <c r="J549" s="5">
        <v>0</v>
      </c>
      <c r="K549" s="3" t="str" cm="1">
        <f t="array" ref="K549">_xlfn.IFS(J549&lt;=5, "0-5", J549&lt;=10, "6-10", J549&lt;=15, "11-15", J549&lt;=20, "16-20", J549&gt;20, "21+")</f>
        <v>0-5</v>
      </c>
      <c r="L549">
        <v>100</v>
      </c>
      <c r="M549" s="4">
        <f t="shared" si="281"/>
        <v>100</v>
      </c>
      <c r="N549" s="4">
        <f t="shared" si="264"/>
        <v>100</v>
      </c>
      <c r="P549">
        <v>0</v>
      </c>
      <c r="Q549" t="s">
        <v>54</v>
      </c>
      <c r="R549" s="1">
        <v>0.73</v>
      </c>
      <c r="S549" s="6">
        <f t="shared" si="282"/>
        <v>0.73</v>
      </c>
    </row>
    <row r="550" spans="1:19" ht="13.5" x14ac:dyDescent="0.25">
      <c r="A550" t="s">
        <v>1292</v>
      </c>
      <c r="B550" t="s">
        <v>1293</v>
      </c>
      <c r="C550" t="str">
        <f t="shared" si="272"/>
        <v>John Christian</v>
      </c>
      <c r="D550" t="s">
        <v>32</v>
      </c>
      <c r="E550" s="3" t="str">
        <f t="shared" si="263"/>
        <v>Male</v>
      </c>
      <c r="F550" s="5">
        <v>22</v>
      </c>
      <c r="G550" t="s">
        <v>52</v>
      </c>
      <c r="H550" t="s">
        <v>53</v>
      </c>
      <c r="I550" t="s">
        <v>288</v>
      </c>
      <c r="J550" s="5">
        <v>1</v>
      </c>
      <c r="K550" s="3" t="str" cm="1">
        <f t="array" ref="K550">_xlfn.IFS(J550&lt;=5, "0-5", J550&lt;=10, "6-10", J550&lt;=15, "11-15", J550&lt;=20, "16-20", J550&gt;20, "21+")</f>
        <v>0-5</v>
      </c>
      <c r="L550">
        <v>40</v>
      </c>
      <c r="M550" s="4">
        <f t="shared" si="281"/>
        <v>40</v>
      </c>
      <c r="N550" s="4">
        <f t="shared" si="264"/>
        <v>40</v>
      </c>
      <c r="O550" s="5">
        <v>0</v>
      </c>
      <c r="P550">
        <v>0</v>
      </c>
      <c r="Q550" t="s">
        <v>54</v>
      </c>
      <c r="R550" s="1">
        <v>0.63</v>
      </c>
      <c r="S550" s="6">
        <f t="shared" si="282"/>
        <v>0.63</v>
      </c>
    </row>
    <row r="551" spans="1:19" ht="13.5" x14ac:dyDescent="0.25">
      <c r="A551" t="s">
        <v>1294</v>
      </c>
      <c r="B551" t="s">
        <v>1295</v>
      </c>
      <c r="C551" t="str">
        <f t="shared" si="272"/>
        <v>Nancy Smith</v>
      </c>
      <c r="D551" t="s">
        <v>301</v>
      </c>
      <c r="E551" s="3" t="str">
        <f t="shared" si="263"/>
        <v>Female</v>
      </c>
      <c r="F551" s="5">
        <v>28</v>
      </c>
      <c r="G551" t="s">
        <v>152</v>
      </c>
      <c r="H551" t="s">
        <v>39</v>
      </c>
      <c r="I551" t="s">
        <v>283</v>
      </c>
      <c r="J551" s="5">
        <v>3</v>
      </c>
      <c r="K551" s="3" t="str" cm="1">
        <f t="array" ref="K551">_xlfn.IFS(J551&lt;=5, "0-5", J551&lt;=10, "6-10", J551&lt;=15, "11-15", J551&lt;=20, "16-20", J551&gt;20, "21+")</f>
        <v>0-5</v>
      </c>
      <c r="L551" t="s">
        <v>78</v>
      </c>
      <c r="M551" s="4" t="str">
        <f t="shared" ref="M551" si="283">_xlfn.TEXTAFTER(L551, " ")</f>
        <v>20</v>
      </c>
      <c r="N551" s="4">
        <f t="shared" si="264"/>
        <v>20</v>
      </c>
      <c r="P551">
        <v>1</v>
      </c>
      <c r="Q551" t="s">
        <v>28</v>
      </c>
      <c r="R551" s="1">
        <v>0.79</v>
      </c>
      <c r="S551" s="6">
        <f t="shared" si="282"/>
        <v>0.79</v>
      </c>
    </row>
    <row r="552" spans="1:19" ht="13.5" x14ac:dyDescent="0.25">
      <c r="A552" t="s">
        <v>197</v>
      </c>
      <c r="B552" t="s">
        <v>198</v>
      </c>
      <c r="C552" t="str">
        <f t="shared" si="272"/>
        <v>Cassandra Stephens</v>
      </c>
      <c r="D552" t="s">
        <v>301</v>
      </c>
      <c r="E552" s="3" t="str">
        <f t="shared" si="263"/>
        <v>Female</v>
      </c>
      <c r="F552" s="5">
        <v>59</v>
      </c>
      <c r="G552" t="s">
        <v>23</v>
      </c>
      <c r="H552" t="s">
        <v>24</v>
      </c>
      <c r="I552" t="s">
        <v>25</v>
      </c>
      <c r="K552" s="3" t="str" cm="1">
        <f t="array" ref="K552">_xlfn.IFS(J552&lt;=5, "0-5", J552&lt;=10, "6-10", J552&lt;=15, "11-15", J552&lt;=20, "16-20", J552&gt;20, "21+")</f>
        <v>0-5</v>
      </c>
      <c r="L552">
        <v>20</v>
      </c>
      <c r="M552" s="4">
        <f>L552</f>
        <v>20</v>
      </c>
      <c r="N552" s="4">
        <f t="shared" si="264"/>
        <v>20</v>
      </c>
      <c r="O552" s="5">
        <v>4.0999999999999996</v>
      </c>
      <c r="P552">
        <v>0</v>
      </c>
      <c r="Q552" t="s">
        <v>54</v>
      </c>
      <c r="R552">
        <v>75</v>
      </c>
      <c r="S552" s="6">
        <f>R552/100</f>
        <v>0.75</v>
      </c>
    </row>
    <row r="553" spans="1:19" ht="13.5" x14ac:dyDescent="0.25">
      <c r="A553" t="s">
        <v>1296</v>
      </c>
      <c r="B553" t="s">
        <v>1297</v>
      </c>
      <c r="C553" t="str">
        <f t="shared" si="272"/>
        <v>Miss Janet Donovan MD</v>
      </c>
      <c r="D553" t="s">
        <v>304</v>
      </c>
      <c r="E553" s="3" t="str">
        <f t="shared" si="263"/>
        <v>Female</v>
      </c>
      <c r="F553" s="5">
        <v>28</v>
      </c>
      <c r="G553" t="s">
        <v>132</v>
      </c>
      <c r="H553" t="s">
        <v>133</v>
      </c>
      <c r="I553" t="s">
        <v>290</v>
      </c>
      <c r="J553" s="5">
        <v>1</v>
      </c>
      <c r="K553" s="3" t="str" cm="1">
        <f t="array" ref="K553">_xlfn.IFS(J553&lt;=5, "0-5", J553&lt;=10, "6-10", J553&lt;=15, "11-15", J553&lt;=20, "16-20", J553&gt;20, "21+")</f>
        <v>0-5</v>
      </c>
      <c r="N553" s="4" t="str">
        <f t="shared" si="264"/>
        <v>NA</v>
      </c>
      <c r="O553" s="5">
        <v>0</v>
      </c>
      <c r="P553">
        <v>0</v>
      </c>
      <c r="Q553" t="s">
        <v>54</v>
      </c>
      <c r="R553" s="1">
        <v>0.7</v>
      </c>
      <c r="S553" s="6">
        <f t="shared" ref="S553:S554" si="284">R553</f>
        <v>0.7</v>
      </c>
    </row>
    <row r="554" spans="1:19" ht="13.5" x14ac:dyDescent="0.25">
      <c r="A554" t="s">
        <v>1298</v>
      </c>
      <c r="B554" t="s">
        <v>1299</v>
      </c>
      <c r="C554" t="str">
        <f t="shared" si="272"/>
        <v>Kristina Williams</v>
      </c>
      <c r="D554" t="s">
        <v>301</v>
      </c>
      <c r="E554" s="3" t="str">
        <f t="shared" si="263"/>
        <v>Female</v>
      </c>
      <c r="F554" s="5">
        <v>40</v>
      </c>
      <c r="G554" t="s">
        <v>38</v>
      </c>
      <c r="H554" t="s">
        <v>39</v>
      </c>
      <c r="I554" t="s">
        <v>283</v>
      </c>
      <c r="J554" s="5">
        <v>0</v>
      </c>
      <c r="K554" s="3" t="str" cm="1">
        <f t="array" ref="K554">_xlfn.IFS(J554&lt;=5, "0-5", J554&lt;=10, "6-10", J554&lt;=15, "11-15", J554&lt;=20, "16-20", J554&gt;20, "21+")</f>
        <v>0-5</v>
      </c>
      <c r="L554" s="2">
        <v>100</v>
      </c>
      <c r="M554" s="4" t="str">
        <f>SUBSTITUTE(L554, "$","")</f>
        <v>100</v>
      </c>
      <c r="N554" s="4">
        <f t="shared" si="264"/>
        <v>100</v>
      </c>
      <c r="O554" s="5">
        <v>1.2</v>
      </c>
      <c r="R554" s="1">
        <v>0.87</v>
      </c>
      <c r="S554" s="6">
        <f t="shared" si="284"/>
        <v>0.87</v>
      </c>
    </row>
    <row r="555" spans="1:19" ht="13.5" x14ac:dyDescent="0.25">
      <c r="A555" t="s">
        <v>1300</v>
      </c>
      <c r="B555" t="s">
        <v>1301</v>
      </c>
      <c r="C555" t="str">
        <f t="shared" si="272"/>
        <v>Wayne Barnes</v>
      </c>
      <c r="D555" t="s">
        <v>328</v>
      </c>
      <c r="E555" s="3" t="str">
        <f t="shared" si="263"/>
        <v>Male</v>
      </c>
      <c r="F555" s="5">
        <v>57</v>
      </c>
      <c r="G555" t="s">
        <v>253</v>
      </c>
      <c r="H555" t="s">
        <v>254</v>
      </c>
      <c r="I555" t="s">
        <v>292</v>
      </c>
      <c r="J555" s="5">
        <v>7</v>
      </c>
      <c r="K555" s="3" t="str" cm="1">
        <f t="array" ref="K555">_xlfn.IFS(J555&lt;=5, "0-5", J555&lt;=10, "6-10", J555&lt;=15, "11-15", J555&lt;=20, "16-20", J555&gt;20, "21+")</f>
        <v>6-10</v>
      </c>
      <c r="L555">
        <v>30</v>
      </c>
      <c r="M555" s="4">
        <f t="shared" ref="M555:M557" si="285">L555</f>
        <v>30</v>
      </c>
      <c r="N555" s="4">
        <f t="shared" si="264"/>
        <v>30</v>
      </c>
      <c r="O555" s="5">
        <v>1.6</v>
      </c>
      <c r="P555" t="s">
        <v>81</v>
      </c>
      <c r="Q555" t="s">
        <v>54</v>
      </c>
      <c r="S555" s="7"/>
    </row>
    <row r="556" spans="1:19" ht="13.5" x14ac:dyDescent="0.25">
      <c r="A556" t="s">
        <v>1302</v>
      </c>
      <c r="B556" t="s">
        <v>1303</v>
      </c>
      <c r="C556" t="str">
        <f t="shared" si="272"/>
        <v>James Hinton</v>
      </c>
      <c r="D556" t="s">
        <v>311</v>
      </c>
      <c r="E556" s="3" t="str">
        <f t="shared" si="263"/>
        <v>Male</v>
      </c>
      <c r="F556" s="5">
        <v>47</v>
      </c>
      <c r="G556" t="s">
        <v>67</v>
      </c>
      <c r="H556" t="s">
        <v>68</v>
      </c>
      <c r="I556" t="s">
        <v>283</v>
      </c>
      <c r="J556" s="5">
        <v>1</v>
      </c>
      <c r="K556" s="3" t="str" cm="1">
        <f t="array" ref="K556">_xlfn.IFS(J556&lt;=5, "0-5", J556&lt;=10, "6-10", J556&lt;=15, "11-15", J556&lt;=20, "16-20", J556&gt;20, "21+")</f>
        <v>0-5</v>
      </c>
      <c r="L556">
        <v>50</v>
      </c>
      <c r="M556" s="4">
        <f t="shared" si="285"/>
        <v>50</v>
      </c>
      <c r="N556" s="4">
        <f t="shared" si="264"/>
        <v>50</v>
      </c>
      <c r="O556" s="5">
        <v>3.9</v>
      </c>
      <c r="P556" t="s">
        <v>57</v>
      </c>
      <c r="Q556" t="s">
        <v>28</v>
      </c>
      <c r="R556" s="1">
        <v>0.88</v>
      </c>
      <c r="S556" s="6">
        <f>R556</f>
        <v>0.88</v>
      </c>
    </row>
    <row r="557" spans="1:19" ht="13.5" x14ac:dyDescent="0.25">
      <c r="A557" t="s">
        <v>1304</v>
      </c>
      <c r="B557" t="s">
        <v>1305</v>
      </c>
      <c r="C557" t="str">
        <f t="shared" si="272"/>
        <v>David Spence</v>
      </c>
      <c r="D557" t="s">
        <v>31</v>
      </c>
      <c r="E557" s="3" t="str">
        <f t="shared" si="263"/>
        <v>Male</v>
      </c>
      <c r="F557" s="5">
        <v>48</v>
      </c>
      <c r="G557" t="s">
        <v>62</v>
      </c>
      <c r="H557" t="s">
        <v>63</v>
      </c>
      <c r="I557" t="s">
        <v>288</v>
      </c>
      <c r="J557" s="5">
        <v>21</v>
      </c>
      <c r="K557" s="3" t="str" cm="1">
        <f t="array" ref="K557">_xlfn.IFS(J557&lt;=5, "0-5", J557&lt;=10, "6-10", J557&lt;=15, "11-15", J557&lt;=20, "16-20", J557&gt;20, "21+")</f>
        <v>21+</v>
      </c>
      <c r="L557">
        <v>40</v>
      </c>
      <c r="M557" s="4">
        <f t="shared" si="285"/>
        <v>40</v>
      </c>
      <c r="N557" s="4">
        <f t="shared" si="264"/>
        <v>40</v>
      </c>
      <c r="O557" s="5">
        <v>0</v>
      </c>
      <c r="P557">
        <v>1</v>
      </c>
      <c r="Q557" t="s">
        <v>28</v>
      </c>
      <c r="S557" s="7"/>
    </row>
    <row r="558" spans="1:19" ht="13.5" x14ac:dyDescent="0.25">
      <c r="A558" t="s">
        <v>1306</v>
      </c>
      <c r="B558" t="s">
        <v>1307</v>
      </c>
      <c r="C558" t="str">
        <f t="shared" si="272"/>
        <v>Tyler Cooper</v>
      </c>
      <c r="D558" t="s">
        <v>32</v>
      </c>
      <c r="E558" s="3" t="str">
        <f t="shared" si="263"/>
        <v>Male</v>
      </c>
      <c r="F558" s="5">
        <v>28</v>
      </c>
      <c r="G558" t="s">
        <v>183</v>
      </c>
      <c r="H558" t="s">
        <v>39</v>
      </c>
      <c r="I558" t="s">
        <v>286</v>
      </c>
      <c r="J558" s="5">
        <v>1</v>
      </c>
      <c r="K558" s="3" t="str" cm="1">
        <f t="array" ref="K558">_xlfn.IFS(J558&lt;=5, "0-5", J558&lt;=10, "6-10", J558&lt;=15, "11-15", J558&lt;=20, "16-20", J558&gt;20, "21+")</f>
        <v>0-5</v>
      </c>
      <c r="L558" t="s">
        <v>78</v>
      </c>
      <c r="M558" s="4" t="str">
        <f t="shared" ref="M558" si="286">_xlfn.TEXTAFTER(L558, " ")</f>
        <v>20</v>
      </c>
      <c r="N558" s="4">
        <f t="shared" si="264"/>
        <v>20</v>
      </c>
      <c r="O558" s="5">
        <v>4.7</v>
      </c>
      <c r="P558" t="b">
        <v>0</v>
      </c>
      <c r="Q558" t="s">
        <v>54</v>
      </c>
      <c r="R558" s="1">
        <v>0.93</v>
      </c>
      <c r="S558" s="6">
        <f>R558</f>
        <v>0.93</v>
      </c>
    </row>
    <row r="559" spans="1:19" ht="13.5" x14ac:dyDescent="0.25">
      <c r="A559" t="s">
        <v>1308</v>
      </c>
      <c r="B559" t="s">
        <v>1309</v>
      </c>
      <c r="C559" t="str">
        <f t="shared" si="272"/>
        <v>Sean Martinez</v>
      </c>
      <c r="D559" t="s">
        <v>328</v>
      </c>
      <c r="E559" s="3" t="str">
        <f t="shared" si="263"/>
        <v>Male</v>
      </c>
      <c r="F559" s="5">
        <v>41</v>
      </c>
      <c r="G559" t="s">
        <v>67</v>
      </c>
      <c r="H559" t="s">
        <v>68</v>
      </c>
      <c r="I559" t="s">
        <v>287</v>
      </c>
      <c r="J559" s="5">
        <v>15</v>
      </c>
      <c r="K559" s="3" t="str" cm="1">
        <f t="array" ref="K559">_xlfn.IFS(J559&lt;=5, "0-5", J559&lt;=10, "6-10", J559&lt;=15, "11-15", J559&lt;=20, "16-20", J559&gt;20, "21+")</f>
        <v>11-15</v>
      </c>
      <c r="N559" s="4" t="str">
        <f t="shared" si="264"/>
        <v>NA</v>
      </c>
      <c r="O559" s="5">
        <v>3.8</v>
      </c>
      <c r="P559">
        <v>1</v>
      </c>
      <c r="Q559" t="s">
        <v>28</v>
      </c>
      <c r="S559" s="7"/>
    </row>
    <row r="560" spans="1:19" ht="13.5" x14ac:dyDescent="0.25">
      <c r="A560" t="s">
        <v>1310</v>
      </c>
      <c r="B560" t="s">
        <v>1311</v>
      </c>
      <c r="C560" t="str">
        <f t="shared" si="272"/>
        <v>Janet Barron</v>
      </c>
      <c r="D560" t="s">
        <v>37</v>
      </c>
      <c r="E560" s="3" t="str">
        <f t="shared" si="263"/>
        <v>Female</v>
      </c>
      <c r="F560" s="5">
        <v>57</v>
      </c>
      <c r="G560" t="s">
        <v>177</v>
      </c>
      <c r="H560" t="s">
        <v>178</v>
      </c>
      <c r="I560" t="s">
        <v>288</v>
      </c>
      <c r="J560" s="5">
        <v>33</v>
      </c>
      <c r="K560" s="3" t="str" cm="1">
        <f t="array" ref="K560">_xlfn.IFS(J560&lt;=5, "0-5", J560&lt;=10, "6-10", J560&lt;=15, "11-15", J560&lt;=20, "16-20", J560&gt;20, "21+")</f>
        <v>21+</v>
      </c>
      <c r="L560">
        <v>100</v>
      </c>
      <c r="M560" s="4">
        <f>L560</f>
        <v>100</v>
      </c>
      <c r="N560" s="4">
        <f t="shared" si="264"/>
        <v>100</v>
      </c>
      <c r="O560" s="5">
        <v>3.5</v>
      </c>
      <c r="P560" t="s">
        <v>81</v>
      </c>
      <c r="Q560" t="s">
        <v>54</v>
      </c>
      <c r="R560" s="1">
        <v>0.74</v>
      </c>
      <c r="S560" s="6">
        <f t="shared" ref="S560:S565" si="287">R560</f>
        <v>0.74</v>
      </c>
    </row>
    <row r="561" spans="1:19" ht="13.5" x14ac:dyDescent="0.25">
      <c r="A561" t="s">
        <v>1312</v>
      </c>
      <c r="B561" t="s">
        <v>1313</v>
      </c>
      <c r="C561" t="str">
        <f t="shared" si="272"/>
        <v>Rodney Wilson</v>
      </c>
      <c r="D561" t="s">
        <v>31</v>
      </c>
      <c r="E561" s="3" t="str">
        <f t="shared" si="263"/>
        <v>Male</v>
      </c>
      <c r="F561" s="5">
        <v>60</v>
      </c>
      <c r="G561" t="s">
        <v>23</v>
      </c>
      <c r="H561" t="s">
        <v>24</v>
      </c>
      <c r="I561" t="s">
        <v>287</v>
      </c>
      <c r="J561" s="5">
        <v>39</v>
      </c>
      <c r="K561" s="3" t="str" cm="1">
        <f t="array" ref="K561">_xlfn.IFS(J561&lt;=5, "0-5", J561&lt;=10, "6-10", J561&lt;=15, "11-15", J561&lt;=20, "16-20", J561&gt;20, "21+")</f>
        <v>21+</v>
      </c>
      <c r="L561" t="s">
        <v>92</v>
      </c>
      <c r="M561" s="4" t="str">
        <f t="shared" ref="M561" si="288">_xlfn.TEXTAFTER(L561, " ")</f>
        <v>75</v>
      </c>
      <c r="N561" s="4">
        <f t="shared" si="264"/>
        <v>75</v>
      </c>
      <c r="O561" s="5">
        <v>4</v>
      </c>
      <c r="R561" s="1">
        <v>0.7</v>
      </c>
      <c r="S561" s="6">
        <f t="shared" si="287"/>
        <v>0.7</v>
      </c>
    </row>
    <row r="562" spans="1:19" ht="13.5" x14ac:dyDescent="0.25">
      <c r="A562" t="s">
        <v>1314</v>
      </c>
      <c r="B562" t="s">
        <v>1315</v>
      </c>
      <c r="C562" t="str">
        <f t="shared" si="272"/>
        <v>Kimberly Fitzgerald</v>
      </c>
      <c r="D562" t="s">
        <v>304</v>
      </c>
      <c r="E562" s="3" t="str">
        <f t="shared" si="263"/>
        <v>Female</v>
      </c>
      <c r="F562" s="5">
        <v>48</v>
      </c>
      <c r="G562" t="s">
        <v>117</v>
      </c>
      <c r="H562" t="s">
        <v>118</v>
      </c>
      <c r="I562" t="s">
        <v>287</v>
      </c>
      <c r="J562" s="5">
        <v>21</v>
      </c>
      <c r="K562" s="3" t="str" cm="1">
        <f t="array" ref="K562">_xlfn.IFS(J562&lt;=5, "0-5", J562&lt;=10, "6-10", J562&lt;=15, "11-15", J562&lt;=20, "16-20", J562&gt;20, "21+")</f>
        <v>21+</v>
      </c>
      <c r="L562">
        <v>30</v>
      </c>
      <c r="M562" s="4">
        <f t="shared" ref="M562:M565" si="289">L562</f>
        <v>30</v>
      </c>
      <c r="N562" s="4">
        <f t="shared" si="264"/>
        <v>30</v>
      </c>
      <c r="O562" s="5">
        <v>1.6</v>
      </c>
      <c r="P562" t="s">
        <v>57</v>
      </c>
      <c r="Q562" t="s">
        <v>28</v>
      </c>
      <c r="R562" s="1">
        <v>0.67</v>
      </c>
      <c r="S562" s="6">
        <f t="shared" si="287"/>
        <v>0.67</v>
      </c>
    </row>
    <row r="563" spans="1:19" ht="13.5" x14ac:dyDescent="0.25">
      <c r="A563" t="s">
        <v>1316</v>
      </c>
      <c r="B563" t="s">
        <v>1317</v>
      </c>
      <c r="C563" t="str">
        <f t="shared" si="272"/>
        <v>Nicole Davis</v>
      </c>
      <c r="D563" t="s">
        <v>22</v>
      </c>
      <c r="E563" s="3" t="str">
        <f t="shared" si="263"/>
        <v>Female</v>
      </c>
      <c r="F563" s="5">
        <v>24</v>
      </c>
      <c r="G563" t="s">
        <v>132</v>
      </c>
      <c r="H563" t="s">
        <v>133</v>
      </c>
      <c r="I563" t="s">
        <v>288</v>
      </c>
      <c r="J563" s="5">
        <v>5</v>
      </c>
      <c r="K563" s="3" t="str" cm="1">
        <f t="array" ref="K563">_xlfn.IFS(J563&lt;=5, "0-5", J563&lt;=10, "6-10", J563&lt;=15, "11-15", J563&lt;=20, "16-20", J563&gt;20, "21+")</f>
        <v>0-5</v>
      </c>
      <c r="L563">
        <v>40</v>
      </c>
      <c r="M563" s="4">
        <f t="shared" si="289"/>
        <v>40</v>
      </c>
      <c r="N563" s="4">
        <f t="shared" si="264"/>
        <v>40</v>
      </c>
      <c r="O563" s="5">
        <v>3</v>
      </c>
      <c r="P563" t="s">
        <v>81</v>
      </c>
      <c r="Q563" t="s">
        <v>54</v>
      </c>
      <c r="R563" s="1">
        <v>0.86</v>
      </c>
      <c r="S563" s="6">
        <f t="shared" si="287"/>
        <v>0.86</v>
      </c>
    </row>
    <row r="564" spans="1:19" ht="13.5" x14ac:dyDescent="0.25">
      <c r="A564" t="s">
        <v>1318</v>
      </c>
      <c r="B564" t="s">
        <v>1319</v>
      </c>
      <c r="C564" t="str">
        <f t="shared" si="272"/>
        <v>Elizabeth Hayes</v>
      </c>
      <c r="D564" t="s">
        <v>21</v>
      </c>
      <c r="E564" s="3" t="str">
        <f t="shared" si="263"/>
        <v>Female</v>
      </c>
      <c r="F564" s="5">
        <v>33</v>
      </c>
      <c r="G564" t="s">
        <v>44</v>
      </c>
      <c r="H564" t="s">
        <v>24</v>
      </c>
      <c r="I564" t="s">
        <v>283</v>
      </c>
      <c r="J564" s="5">
        <v>11</v>
      </c>
      <c r="K564" s="3" t="str" cm="1">
        <f t="array" ref="K564">_xlfn.IFS(J564&lt;=5, "0-5", J564&lt;=10, "6-10", J564&lt;=15, "11-15", J564&lt;=20, "16-20", J564&gt;20, "21+")</f>
        <v>11-15</v>
      </c>
      <c r="L564">
        <v>50</v>
      </c>
      <c r="M564" s="4">
        <f t="shared" si="289"/>
        <v>50</v>
      </c>
      <c r="N564" s="4">
        <f t="shared" si="264"/>
        <v>50</v>
      </c>
      <c r="O564" s="5">
        <v>5</v>
      </c>
      <c r="P564" t="s">
        <v>27</v>
      </c>
      <c r="Q564" t="s">
        <v>28</v>
      </c>
      <c r="R564" s="1">
        <v>0.69</v>
      </c>
      <c r="S564" s="6">
        <f t="shared" si="287"/>
        <v>0.69</v>
      </c>
    </row>
    <row r="565" spans="1:19" ht="13.5" x14ac:dyDescent="0.25">
      <c r="A565" t="s">
        <v>1320</v>
      </c>
      <c r="B565" t="s">
        <v>1321</v>
      </c>
      <c r="C565" t="str">
        <f t="shared" si="272"/>
        <v>Kathy Faulkner</v>
      </c>
      <c r="D565" t="s">
        <v>21</v>
      </c>
      <c r="E565" s="3" t="str">
        <f t="shared" si="263"/>
        <v>Female</v>
      </c>
      <c r="F565" s="5">
        <v>20</v>
      </c>
      <c r="G565" t="s">
        <v>67</v>
      </c>
      <c r="H565" t="s">
        <v>68</v>
      </c>
      <c r="I565" t="s">
        <v>287</v>
      </c>
      <c r="J565" s="5">
        <v>0</v>
      </c>
      <c r="K565" s="3" t="str" cm="1">
        <f t="array" ref="K565">_xlfn.IFS(J565&lt;=5, "0-5", J565&lt;=10, "6-10", J565&lt;=15, "11-15", J565&lt;=20, "16-20", J565&gt;20, "21+")</f>
        <v>0-5</v>
      </c>
      <c r="L565">
        <v>30</v>
      </c>
      <c r="M565" s="4">
        <f t="shared" si="289"/>
        <v>30</v>
      </c>
      <c r="N565" s="4">
        <f t="shared" si="264"/>
        <v>30</v>
      </c>
      <c r="O565" s="5">
        <v>4.8</v>
      </c>
      <c r="P565" t="s">
        <v>27</v>
      </c>
      <c r="Q565" t="s">
        <v>28</v>
      </c>
      <c r="R565" s="1">
        <v>0.68</v>
      </c>
      <c r="S565" s="6">
        <f t="shared" si="287"/>
        <v>0.68</v>
      </c>
    </row>
    <row r="566" spans="1:19" ht="13.5" x14ac:dyDescent="0.25">
      <c r="A566" t="s">
        <v>1322</v>
      </c>
      <c r="B566" t="s">
        <v>1323</v>
      </c>
      <c r="C566" t="str">
        <f t="shared" si="272"/>
        <v>John Gonzales</v>
      </c>
      <c r="D566" t="s">
        <v>311</v>
      </c>
      <c r="E566" s="3" t="str">
        <f t="shared" si="263"/>
        <v>Male</v>
      </c>
      <c r="F566" s="5">
        <v>59</v>
      </c>
      <c r="G566" t="s">
        <v>152</v>
      </c>
      <c r="H566" t="s">
        <v>39</v>
      </c>
      <c r="I566" t="s">
        <v>283</v>
      </c>
      <c r="J566" s="5">
        <v>15</v>
      </c>
      <c r="K566" s="3" t="str" cm="1">
        <f t="array" ref="K566">_xlfn.IFS(J566&lt;=5, "0-5", J566&lt;=10, "6-10", J566&lt;=15, "11-15", J566&lt;=20, "16-20", J566&gt;20, "21+")</f>
        <v>11-15</v>
      </c>
      <c r="L566" s="2">
        <v>50</v>
      </c>
      <c r="M566" s="4" t="str">
        <f>SUBSTITUTE(L566, "$","")</f>
        <v>50</v>
      </c>
      <c r="N566" s="4">
        <f t="shared" si="264"/>
        <v>50</v>
      </c>
      <c r="P566" t="s">
        <v>81</v>
      </c>
      <c r="Q566" t="s">
        <v>54</v>
      </c>
      <c r="S566" s="7"/>
    </row>
    <row r="567" spans="1:19" ht="13.5" x14ac:dyDescent="0.25">
      <c r="A567" t="s">
        <v>1324</v>
      </c>
      <c r="B567" t="s">
        <v>1325</v>
      </c>
      <c r="C567" t="str">
        <f t="shared" si="272"/>
        <v>Shannon Luna</v>
      </c>
      <c r="D567" t="s">
        <v>304</v>
      </c>
      <c r="E567" s="3" t="str">
        <f t="shared" si="263"/>
        <v>Female</v>
      </c>
      <c r="F567" s="5">
        <v>42</v>
      </c>
      <c r="G567" t="s">
        <v>165</v>
      </c>
      <c r="H567" t="s">
        <v>166</v>
      </c>
      <c r="I567" t="s">
        <v>283</v>
      </c>
      <c r="J567" s="5">
        <v>22</v>
      </c>
      <c r="K567" s="3" t="str" cm="1">
        <f t="array" ref="K567">_xlfn.IFS(J567&lt;=5, "0-5", J567&lt;=10, "6-10", J567&lt;=15, "11-15", J567&lt;=20, "16-20", J567&gt;20, "21+")</f>
        <v>21+</v>
      </c>
      <c r="N567" s="4" t="str">
        <f t="shared" si="264"/>
        <v>NA</v>
      </c>
      <c r="O567" s="5">
        <v>2.9</v>
      </c>
      <c r="P567">
        <v>0</v>
      </c>
      <c r="Q567" t="s">
        <v>54</v>
      </c>
      <c r="R567" s="1">
        <v>0.61</v>
      </c>
      <c r="S567" s="6">
        <f t="shared" ref="S567:S572" si="290">R567</f>
        <v>0.61</v>
      </c>
    </row>
    <row r="568" spans="1:19" ht="13.5" x14ac:dyDescent="0.25">
      <c r="A568" t="s">
        <v>1326</v>
      </c>
      <c r="B568" t="s">
        <v>1327</v>
      </c>
      <c r="C568" t="str">
        <f t="shared" si="272"/>
        <v>Stephanie Burton</v>
      </c>
      <c r="D568" t="s">
        <v>21</v>
      </c>
      <c r="E568" s="3" t="str">
        <f t="shared" si="263"/>
        <v>Female</v>
      </c>
      <c r="F568" s="5">
        <v>22</v>
      </c>
      <c r="G568" t="s">
        <v>67</v>
      </c>
      <c r="H568" t="s">
        <v>68</v>
      </c>
      <c r="I568" t="s">
        <v>286</v>
      </c>
      <c r="J568" s="5">
        <v>3</v>
      </c>
      <c r="K568" s="3" t="str" cm="1">
        <f t="array" ref="K568">_xlfn.IFS(J568&lt;=5, "0-5", J568&lt;=10, "6-10", J568&lt;=15, "11-15", J568&lt;=20, "16-20", J568&gt;20, "21+")</f>
        <v>0-5</v>
      </c>
      <c r="N568" s="4" t="str">
        <f t="shared" si="264"/>
        <v>NA</v>
      </c>
      <c r="O568" s="5">
        <v>3</v>
      </c>
      <c r="P568" t="b">
        <v>1</v>
      </c>
      <c r="Q568" t="s">
        <v>28</v>
      </c>
      <c r="R568" s="1">
        <v>0.96</v>
      </c>
      <c r="S568" s="6">
        <f t="shared" si="290"/>
        <v>0.96</v>
      </c>
    </row>
    <row r="569" spans="1:19" ht="13.5" x14ac:dyDescent="0.25">
      <c r="A569" t="s">
        <v>1328</v>
      </c>
      <c r="B569" t="s">
        <v>1329</v>
      </c>
      <c r="C569" t="str">
        <f t="shared" si="272"/>
        <v>Kevin Gonzales</v>
      </c>
      <c r="D569" t="s">
        <v>328</v>
      </c>
      <c r="E569" s="3" t="str">
        <f t="shared" si="263"/>
        <v>Male</v>
      </c>
      <c r="F569" s="5">
        <v>41</v>
      </c>
      <c r="G569" t="s">
        <v>125</v>
      </c>
      <c r="H569" t="s">
        <v>39</v>
      </c>
      <c r="I569" t="s">
        <v>288</v>
      </c>
      <c r="J569" s="5">
        <v>11</v>
      </c>
      <c r="K569" s="3" t="str" cm="1">
        <f t="array" ref="K569">_xlfn.IFS(J569&lt;=5, "0-5", J569&lt;=10, "6-10", J569&lt;=15, "11-15", J569&lt;=20, "16-20", J569&gt;20, "21+")</f>
        <v>11-15</v>
      </c>
      <c r="L569">
        <v>50</v>
      </c>
      <c r="M569" s="4">
        <f t="shared" ref="M569:M571" si="291">L569</f>
        <v>50</v>
      </c>
      <c r="N569" s="4">
        <f t="shared" si="264"/>
        <v>50</v>
      </c>
      <c r="O569" s="5">
        <v>3.5</v>
      </c>
      <c r="P569">
        <v>1</v>
      </c>
      <c r="Q569" t="s">
        <v>28</v>
      </c>
      <c r="R569" s="1">
        <v>0.68</v>
      </c>
      <c r="S569" s="6">
        <f t="shared" si="290"/>
        <v>0.68</v>
      </c>
    </row>
    <row r="570" spans="1:19" ht="13.5" x14ac:dyDescent="0.25">
      <c r="A570" t="s">
        <v>1330</v>
      </c>
      <c r="B570" t="s">
        <v>1331</v>
      </c>
      <c r="C570" t="str">
        <f t="shared" si="272"/>
        <v>Dawn Hardy</v>
      </c>
      <c r="D570" t="s">
        <v>22</v>
      </c>
      <c r="E570" s="3" t="str">
        <f t="shared" si="263"/>
        <v>Female</v>
      </c>
      <c r="F570" s="5">
        <v>25</v>
      </c>
      <c r="G570" t="s">
        <v>23</v>
      </c>
      <c r="H570" t="s">
        <v>24</v>
      </c>
      <c r="I570" t="s">
        <v>290</v>
      </c>
      <c r="J570" s="5">
        <v>5</v>
      </c>
      <c r="K570" s="3" t="str" cm="1">
        <f t="array" ref="K570">_xlfn.IFS(J570&lt;=5, "0-5", J570&lt;=10, "6-10", J570&lt;=15, "11-15", J570&lt;=20, "16-20", J570&gt;20, "21+")</f>
        <v>0-5</v>
      </c>
      <c r="L570">
        <v>40</v>
      </c>
      <c r="M570" s="4">
        <f t="shared" si="291"/>
        <v>40</v>
      </c>
      <c r="N570" s="4">
        <f t="shared" si="264"/>
        <v>40</v>
      </c>
      <c r="P570" t="b">
        <v>1</v>
      </c>
      <c r="Q570" t="s">
        <v>28</v>
      </c>
      <c r="R570" s="1">
        <v>0.75</v>
      </c>
      <c r="S570" s="6">
        <f t="shared" si="290"/>
        <v>0.75</v>
      </c>
    </row>
    <row r="571" spans="1:19" ht="13.5" x14ac:dyDescent="0.25">
      <c r="A571" t="s">
        <v>1332</v>
      </c>
      <c r="B571" t="s">
        <v>1333</v>
      </c>
      <c r="C571" t="str">
        <f t="shared" si="272"/>
        <v>Margaret Perkins</v>
      </c>
      <c r="D571" t="s">
        <v>37</v>
      </c>
      <c r="E571" s="3" t="str">
        <f t="shared" si="263"/>
        <v>Female</v>
      </c>
      <c r="F571" s="5">
        <v>38</v>
      </c>
      <c r="G571" t="s">
        <v>125</v>
      </c>
      <c r="H571" t="s">
        <v>39</v>
      </c>
      <c r="I571" t="s">
        <v>286</v>
      </c>
      <c r="J571" s="5">
        <v>3</v>
      </c>
      <c r="K571" s="3" t="str" cm="1">
        <f t="array" ref="K571">_xlfn.IFS(J571&lt;=5, "0-5", J571&lt;=10, "6-10", J571&lt;=15, "11-15", J571&lt;=20, "16-20", J571&gt;20, "21+")</f>
        <v>0-5</v>
      </c>
      <c r="L571">
        <v>40</v>
      </c>
      <c r="M571" s="4">
        <f t="shared" si="291"/>
        <v>40</v>
      </c>
      <c r="N571" s="4">
        <f t="shared" si="264"/>
        <v>40</v>
      </c>
      <c r="O571" s="5">
        <v>4.7</v>
      </c>
      <c r="P571">
        <v>0</v>
      </c>
      <c r="Q571" t="s">
        <v>54</v>
      </c>
      <c r="R571" s="1">
        <v>0.69</v>
      </c>
      <c r="S571" s="6">
        <f t="shared" si="290"/>
        <v>0.69</v>
      </c>
    </row>
    <row r="572" spans="1:19" ht="13.5" x14ac:dyDescent="0.25">
      <c r="A572" t="s">
        <v>1334</v>
      </c>
      <c r="B572" t="s">
        <v>1335</v>
      </c>
      <c r="C572" t="str">
        <f t="shared" si="272"/>
        <v>Amanda Vargas</v>
      </c>
      <c r="D572" t="s">
        <v>304</v>
      </c>
      <c r="E572" s="3" t="str">
        <f t="shared" si="263"/>
        <v>Female</v>
      </c>
      <c r="F572" s="5">
        <v>43</v>
      </c>
      <c r="G572" t="s">
        <v>183</v>
      </c>
      <c r="H572" t="s">
        <v>39</v>
      </c>
      <c r="I572" t="s">
        <v>283</v>
      </c>
      <c r="J572" s="5">
        <v>1</v>
      </c>
      <c r="K572" s="3" t="str" cm="1">
        <f t="array" ref="K572">_xlfn.IFS(J572&lt;=5, "0-5", J572&lt;=10, "6-10", J572&lt;=15, "11-15", J572&lt;=20, "16-20", J572&gt;20, "21+")</f>
        <v>0-5</v>
      </c>
      <c r="N572" s="4" t="str">
        <f t="shared" si="264"/>
        <v>NA</v>
      </c>
      <c r="O572" s="5">
        <v>2.9</v>
      </c>
      <c r="P572" t="s">
        <v>81</v>
      </c>
      <c r="Q572" t="s">
        <v>54</v>
      </c>
      <c r="R572" s="1">
        <v>0.78</v>
      </c>
      <c r="S572" s="6">
        <f t="shared" si="290"/>
        <v>0.78</v>
      </c>
    </row>
    <row r="573" spans="1:19" ht="13.5" x14ac:dyDescent="0.25">
      <c r="A573" t="s">
        <v>195</v>
      </c>
      <c r="B573" t="s">
        <v>196</v>
      </c>
      <c r="C573" t="str">
        <f t="shared" si="272"/>
        <v>Tonya Gonzalez</v>
      </c>
      <c r="D573" t="s">
        <v>301</v>
      </c>
      <c r="E573" s="3" t="str">
        <f t="shared" si="263"/>
        <v>Female</v>
      </c>
      <c r="F573" s="5">
        <v>54</v>
      </c>
      <c r="G573" t="s">
        <v>44</v>
      </c>
      <c r="H573" t="s">
        <v>24</v>
      </c>
      <c r="I573" t="s">
        <v>25</v>
      </c>
      <c r="J573" s="5">
        <v>1</v>
      </c>
      <c r="K573" s="3" t="str" cm="1">
        <f t="array" ref="K573">_xlfn.IFS(J573&lt;=5, "0-5", J573&lt;=10, "6-10", J573&lt;=15, "11-15", J573&lt;=20, "16-20", J573&gt;20, "21+")</f>
        <v>0-5</v>
      </c>
      <c r="L573">
        <v>75</v>
      </c>
      <c r="M573" s="4">
        <f t="shared" ref="M573:M574" si="292">L573</f>
        <v>75</v>
      </c>
      <c r="N573" s="4">
        <f t="shared" si="264"/>
        <v>75</v>
      </c>
      <c r="O573" s="5">
        <v>4.4000000000000004</v>
      </c>
      <c r="P573" t="s">
        <v>57</v>
      </c>
      <c r="Q573" t="s">
        <v>28</v>
      </c>
      <c r="S573" s="7"/>
    </row>
    <row r="574" spans="1:19" ht="13.5" x14ac:dyDescent="0.25">
      <c r="A574" t="s">
        <v>1336</v>
      </c>
      <c r="B574" t="s">
        <v>1337</v>
      </c>
      <c r="C574" t="str">
        <f t="shared" si="272"/>
        <v>Elizabeth Bowman</v>
      </c>
      <c r="D574" t="s">
        <v>301</v>
      </c>
      <c r="E574" s="3" t="str">
        <f t="shared" si="263"/>
        <v>Female</v>
      </c>
      <c r="F574" s="5">
        <v>31</v>
      </c>
      <c r="G574" t="s">
        <v>104</v>
      </c>
      <c r="H574" t="s">
        <v>105</v>
      </c>
      <c r="I574" t="s">
        <v>285</v>
      </c>
      <c r="J574" s="5">
        <v>2</v>
      </c>
      <c r="K574" s="3" t="str" cm="1">
        <f t="array" ref="K574">_xlfn.IFS(J574&lt;=5, "0-5", J574&lt;=10, "6-10", J574&lt;=15, "11-15", J574&lt;=20, "16-20", J574&gt;20, "21+")</f>
        <v>0-5</v>
      </c>
      <c r="L574">
        <v>40</v>
      </c>
      <c r="M574" s="4">
        <f t="shared" si="292"/>
        <v>40</v>
      </c>
      <c r="N574" s="4">
        <f t="shared" si="264"/>
        <v>40</v>
      </c>
      <c r="O574" s="5">
        <v>2.2999999999999998</v>
      </c>
      <c r="P574" t="s">
        <v>64</v>
      </c>
      <c r="Q574" t="s">
        <v>54</v>
      </c>
      <c r="R574" s="1">
        <v>0.98</v>
      </c>
      <c r="S574" s="6">
        <f t="shared" ref="S574:S580" si="293">R574</f>
        <v>0.98</v>
      </c>
    </row>
    <row r="575" spans="1:19" ht="13.5" x14ac:dyDescent="0.25">
      <c r="A575" t="s">
        <v>190</v>
      </c>
      <c r="B575" t="s">
        <v>191</v>
      </c>
      <c r="C575" t="str">
        <f t="shared" si="272"/>
        <v>Ariana Pittman</v>
      </c>
      <c r="D575" t="s">
        <v>37</v>
      </c>
      <c r="E575" s="3" t="str">
        <f t="shared" si="263"/>
        <v>Female</v>
      </c>
      <c r="F575" s="5">
        <v>56</v>
      </c>
      <c r="G575" t="s">
        <v>44</v>
      </c>
      <c r="H575" t="s">
        <v>24</v>
      </c>
      <c r="I575" t="s">
        <v>25</v>
      </c>
      <c r="J575" s="5">
        <v>3</v>
      </c>
      <c r="K575" s="3" t="str" cm="1">
        <f t="array" ref="K575">_xlfn.IFS(J575&lt;=5, "0-5", J575&lt;=10, "6-10", J575&lt;=15, "11-15", J575&lt;=20, "16-20", J575&gt;20, "21+")</f>
        <v>0-5</v>
      </c>
      <c r="L575" s="2">
        <v>30</v>
      </c>
      <c r="M575" s="4" t="str">
        <f>SUBSTITUTE(L575, "$","")</f>
        <v>30</v>
      </c>
      <c r="N575" s="4">
        <f t="shared" si="264"/>
        <v>30</v>
      </c>
      <c r="O575" s="5">
        <v>3.7</v>
      </c>
      <c r="R575" s="1">
        <v>0.83</v>
      </c>
      <c r="S575" s="6">
        <f t="shared" si="293"/>
        <v>0.83</v>
      </c>
    </row>
    <row r="576" spans="1:19" ht="13.5" x14ac:dyDescent="0.25">
      <c r="A576" t="s">
        <v>1338</v>
      </c>
      <c r="B576" t="s">
        <v>1339</v>
      </c>
      <c r="C576" t="str">
        <f t="shared" si="272"/>
        <v>Antonio Johnson</v>
      </c>
      <c r="D576" t="s">
        <v>311</v>
      </c>
      <c r="E576" s="3" t="str">
        <f t="shared" si="263"/>
        <v>Male</v>
      </c>
      <c r="F576" s="5">
        <v>46</v>
      </c>
      <c r="G576" t="s">
        <v>44</v>
      </c>
      <c r="H576" t="s">
        <v>24</v>
      </c>
      <c r="I576" t="s">
        <v>287</v>
      </c>
      <c r="J576" s="5">
        <v>11</v>
      </c>
      <c r="K576" s="3" t="str" cm="1">
        <f t="array" ref="K576">_xlfn.IFS(J576&lt;=5, "0-5", J576&lt;=10, "6-10", J576&lt;=15, "11-15", J576&lt;=20, "16-20", J576&gt;20, "21+")</f>
        <v>11-15</v>
      </c>
      <c r="N576" s="4" t="str">
        <f t="shared" si="264"/>
        <v>NA</v>
      </c>
      <c r="O576" s="5">
        <v>1.8</v>
      </c>
      <c r="P576">
        <v>1</v>
      </c>
      <c r="Q576" t="s">
        <v>28</v>
      </c>
      <c r="R576" s="1">
        <v>0.91</v>
      </c>
      <c r="S576" s="6">
        <f t="shared" si="293"/>
        <v>0.91</v>
      </c>
    </row>
    <row r="577" spans="1:19" ht="13.5" x14ac:dyDescent="0.25">
      <c r="A577" t="s">
        <v>186</v>
      </c>
      <c r="B577" t="s">
        <v>187</v>
      </c>
      <c r="C577" t="str">
        <f t="shared" si="272"/>
        <v>Justin Lang</v>
      </c>
      <c r="D577" t="s">
        <v>32</v>
      </c>
      <c r="E577" s="3" t="str">
        <f t="shared" si="263"/>
        <v>Male</v>
      </c>
      <c r="F577" s="5">
        <v>60</v>
      </c>
      <c r="G577" t="s">
        <v>117</v>
      </c>
      <c r="H577" t="s">
        <v>118</v>
      </c>
      <c r="I577" t="s">
        <v>25</v>
      </c>
      <c r="K577" s="3" t="str" cm="1">
        <f t="array" ref="K577">_xlfn.IFS(J577&lt;=5, "0-5", J577&lt;=10, "6-10", J577&lt;=15, "11-15", J577&lt;=20, "16-20", J577&gt;20, "21+")</f>
        <v>0-5</v>
      </c>
      <c r="L577">
        <v>100</v>
      </c>
      <c r="M577" s="4">
        <f>L577</f>
        <v>100</v>
      </c>
      <c r="N577" s="4">
        <f t="shared" si="264"/>
        <v>100</v>
      </c>
      <c r="O577" s="5">
        <v>0</v>
      </c>
      <c r="P577">
        <v>1</v>
      </c>
      <c r="Q577" t="s">
        <v>28</v>
      </c>
      <c r="R577" s="1">
        <v>0.96</v>
      </c>
      <c r="S577" s="6">
        <f t="shared" si="293"/>
        <v>0.96</v>
      </c>
    </row>
    <row r="578" spans="1:19" ht="13.5" x14ac:dyDescent="0.25">
      <c r="A578" t="s">
        <v>1340</v>
      </c>
      <c r="B578" t="s">
        <v>1341</v>
      </c>
      <c r="C578" t="str">
        <f t="shared" si="272"/>
        <v>Kelli Ramirez</v>
      </c>
      <c r="D578" t="s">
        <v>301</v>
      </c>
      <c r="E578" s="3" t="str">
        <f t="shared" si="263"/>
        <v>Female</v>
      </c>
      <c r="F578" s="5">
        <v>28</v>
      </c>
      <c r="G578" t="s">
        <v>62</v>
      </c>
      <c r="H578" t="s">
        <v>63</v>
      </c>
      <c r="I578" t="s">
        <v>287</v>
      </c>
      <c r="J578" s="5">
        <v>2</v>
      </c>
      <c r="K578" s="3" t="str" cm="1">
        <f t="array" ref="K578">_xlfn.IFS(J578&lt;=5, "0-5", J578&lt;=10, "6-10", J578&lt;=15, "11-15", J578&lt;=20, "16-20", J578&gt;20, "21+")</f>
        <v>0-5</v>
      </c>
      <c r="L578" t="s">
        <v>112</v>
      </c>
      <c r="M578" s="4" t="str">
        <f t="shared" ref="M578:M579" si="294">_xlfn.TEXTAFTER(L578, " ")</f>
        <v>50</v>
      </c>
      <c r="N578" s="4">
        <f t="shared" si="264"/>
        <v>50</v>
      </c>
      <c r="P578">
        <v>1</v>
      </c>
      <c r="Q578" t="s">
        <v>28</v>
      </c>
      <c r="R578" s="1">
        <v>0.85</v>
      </c>
      <c r="S578" s="6">
        <f t="shared" si="293"/>
        <v>0.85</v>
      </c>
    </row>
    <row r="579" spans="1:19" ht="13.5" x14ac:dyDescent="0.25">
      <c r="A579" t="s">
        <v>1342</v>
      </c>
      <c r="B579" t="s">
        <v>1343</v>
      </c>
      <c r="C579" t="str">
        <f t="shared" si="272"/>
        <v>Deborah Torres</v>
      </c>
      <c r="D579" t="s">
        <v>301</v>
      </c>
      <c r="E579" s="3" t="str">
        <f t="shared" ref="E579:E642" si="295">IF(LOWER(LEFT(D579,1)) = "f", "Female", "Male")</f>
        <v>Female</v>
      </c>
      <c r="F579" s="5">
        <v>43</v>
      </c>
      <c r="G579" t="s">
        <v>104</v>
      </c>
      <c r="H579" t="s">
        <v>105</v>
      </c>
      <c r="I579" t="s">
        <v>290</v>
      </c>
      <c r="J579" s="5">
        <v>20</v>
      </c>
      <c r="K579" s="3" t="str" cm="1">
        <f t="array" ref="K579">_xlfn.IFS(J579&lt;=5, "0-5", J579&lt;=10, "6-10", J579&lt;=15, "11-15", J579&lt;=20, "16-20", J579&gt;20, "21+")</f>
        <v>16-20</v>
      </c>
      <c r="L579" t="s">
        <v>72</v>
      </c>
      <c r="M579" s="4" t="str">
        <f t="shared" si="294"/>
        <v>30</v>
      </c>
      <c r="N579" s="4">
        <f t="shared" ref="N579:N642" si="296">IF(M579="","NA",ROUND(M579,0))</f>
        <v>30</v>
      </c>
      <c r="O579" s="5">
        <v>2.7</v>
      </c>
      <c r="P579" t="b">
        <v>0</v>
      </c>
      <c r="Q579" t="s">
        <v>54</v>
      </c>
      <c r="R579" s="1">
        <v>0.72</v>
      </c>
      <c r="S579" s="6">
        <f t="shared" si="293"/>
        <v>0.72</v>
      </c>
    </row>
    <row r="580" spans="1:19" ht="13.5" x14ac:dyDescent="0.25">
      <c r="A580" t="s">
        <v>1344</v>
      </c>
      <c r="B580" t="s">
        <v>1345</v>
      </c>
      <c r="C580" t="str">
        <f t="shared" si="272"/>
        <v>Joseph Horn</v>
      </c>
      <c r="D580" t="s">
        <v>311</v>
      </c>
      <c r="E580" s="3" t="str">
        <f t="shared" si="295"/>
        <v>Male</v>
      </c>
      <c r="F580" s="5">
        <v>41</v>
      </c>
      <c r="G580" t="s">
        <v>132</v>
      </c>
      <c r="H580" t="s">
        <v>133</v>
      </c>
      <c r="I580" t="s">
        <v>290</v>
      </c>
      <c r="J580" s="5">
        <v>11</v>
      </c>
      <c r="K580" s="3" t="str" cm="1">
        <f t="array" ref="K580">_xlfn.IFS(J580&lt;=5, "0-5", J580&lt;=10, "6-10", J580&lt;=15, "11-15", J580&lt;=20, "16-20", J580&gt;20, "21+")</f>
        <v>11-15</v>
      </c>
      <c r="L580" s="2">
        <v>20</v>
      </c>
      <c r="M580" s="4" t="str">
        <f t="shared" ref="M580:M581" si="297">SUBSTITUTE(L580, "$","")</f>
        <v>20</v>
      </c>
      <c r="N580" s="4">
        <f t="shared" si="296"/>
        <v>20</v>
      </c>
      <c r="O580" s="5">
        <v>4.7</v>
      </c>
      <c r="R580" s="1">
        <v>0.69</v>
      </c>
      <c r="S580" s="6">
        <f t="shared" si="293"/>
        <v>0.69</v>
      </c>
    </row>
    <row r="581" spans="1:19" ht="13.5" x14ac:dyDescent="0.25">
      <c r="A581" t="s">
        <v>1346</v>
      </c>
      <c r="B581" t="s">
        <v>1347</v>
      </c>
      <c r="C581" t="str">
        <f t="shared" si="272"/>
        <v>Christopher Robinson</v>
      </c>
      <c r="D581" t="s">
        <v>31</v>
      </c>
      <c r="E581" s="3" t="str">
        <f t="shared" si="295"/>
        <v>Male</v>
      </c>
      <c r="F581" s="5">
        <v>41</v>
      </c>
      <c r="G581" t="s">
        <v>152</v>
      </c>
      <c r="H581" t="s">
        <v>39</v>
      </c>
      <c r="I581" t="s">
        <v>283</v>
      </c>
      <c r="J581" s="5">
        <v>0</v>
      </c>
      <c r="K581" s="3" t="str" cm="1">
        <f t="array" ref="K581">_xlfn.IFS(J581&lt;=5, "0-5", J581&lt;=10, "6-10", J581&lt;=15, "11-15", J581&lt;=20, "16-20", J581&gt;20, "21+")</f>
        <v>0-5</v>
      </c>
      <c r="L581" s="2">
        <v>20</v>
      </c>
      <c r="M581" s="4" t="str">
        <f t="shared" si="297"/>
        <v>20</v>
      </c>
      <c r="N581" s="4">
        <f t="shared" si="296"/>
        <v>20</v>
      </c>
      <c r="O581" s="5">
        <v>3.1</v>
      </c>
      <c r="P581">
        <v>0</v>
      </c>
      <c r="Q581" t="s">
        <v>54</v>
      </c>
      <c r="R581">
        <v>90</v>
      </c>
      <c r="S581" s="6">
        <f>R581/100</f>
        <v>0.9</v>
      </c>
    </row>
    <row r="582" spans="1:19" ht="13.5" x14ac:dyDescent="0.25">
      <c r="A582" t="s">
        <v>1348</v>
      </c>
      <c r="B582" t="s">
        <v>1349</v>
      </c>
      <c r="C582" t="str">
        <f t="shared" si="272"/>
        <v>Sandra Mccormick</v>
      </c>
      <c r="D582" t="s">
        <v>301</v>
      </c>
      <c r="E582" s="3" t="str">
        <f t="shared" si="295"/>
        <v>Female</v>
      </c>
      <c r="F582" s="5">
        <v>40</v>
      </c>
      <c r="G582" t="s">
        <v>152</v>
      </c>
      <c r="H582" t="s">
        <v>39</v>
      </c>
      <c r="I582" t="s">
        <v>285</v>
      </c>
      <c r="J582" s="5">
        <v>20</v>
      </c>
      <c r="K582" s="3" t="str" cm="1">
        <f t="array" ref="K582">_xlfn.IFS(J582&lt;=5, "0-5", J582&lt;=10, "6-10", J582&lt;=15, "11-15", J582&lt;=20, "16-20", J582&gt;20, "21+")</f>
        <v>16-20</v>
      </c>
      <c r="L582">
        <v>20</v>
      </c>
      <c r="M582" s="4">
        <f>L582</f>
        <v>20</v>
      </c>
      <c r="N582" s="4">
        <f t="shared" si="296"/>
        <v>20</v>
      </c>
      <c r="O582" s="5">
        <v>2.2999999999999998</v>
      </c>
      <c r="P582">
        <v>0</v>
      </c>
      <c r="Q582" t="s">
        <v>54</v>
      </c>
      <c r="R582" s="1">
        <v>0.92</v>
      </c>
      <c r="S582" s="6">
        <f t="shared" ref="S582:S583" si="298">R582</f>
        <v>0.92</v>
      </c>
    </row>
    <row r="583" spans="1:19" ht="13.5" x14ac:dyDescent="0.25">
      <c r="A583" t="s">
        <v>1350</v>
      </c>
      <c r="B583" t="s">
        <v>1351</v>
      </c>
      <c r="C583" t="str">
        <f t="shared" si="272"/>
        <v>Michael Holland</v>
      </c>
      <c r="D583" t="s">
        <v>32</v>
      </c>
      <c r="E583" s="3" t="str">
        <f t="shared" si="295"/>
        <v>Male</v>
      </c>
      <c r="F583" s="5">
        <v>45</v>
      </c>
      <c r="G583" t="s">
        <v>33</v>
      </c>
      <c r="H583" t="s">
        <v>34</v>
      </c>
      <c r="I583" t="s">
        <v>283</v>
      </c>
      <c r="J583" s="5">
        <v>3</v>
      </c>
      <c r="K583" s="3" t="str" cm="1">
        <f t="array" ref="K583">_xlfn.IFS(J583&lt;=5, "0-5", J583&lt;=10, "6-10", J583&lt;=15, "11-15", J583&lt;=20, "16-20", J583&gt;20, "21+")</f>
        <v>0-5</v>
      </c>
      <c r="L583" t="s">
        <v>78</v>
      </c>
      <c r="M583" s="4" t="str">
        <f t="shared" ref="M583:M584" si="299">_xlfn.TEXTAFTER(L583, " ")</f>
        <v>20</v>
      </c>
      <c r="N583" s="4">
        <f t="shared" si="296"/>
        <v>20</v>
      </c>
      <c r="O583" s="5">
        <v>1.3</v>
      </c>
      <c r="P583" t="s">
        <v>57</v>
      </c>
      <c r="Q583" t="s">
        <v>28</v>
      </c>
      <c r="R583" s="1">
        <v>0.91</v>
      </c>
      <c r="S583" s="6">
        <f t="shared" si="298"/>
        <v>0.91</v>
      </c>
    </row>
    <row r="584" spans="1:19" ht="13.5" x14ac:dyDescent="0.25">
      <c r="A584" t="s">
        <v>1352</v>
      </c>
      <c r="B584" t="s">
        <v>1353</v>
      </c>
      <c r="C584" t="str">
        <f t="shared" si="272"/>
        <v>Kenneth Stevenson</v>
      </c>
      <c r="D584" t="s">
        <v>311</v>
      </c>
      <c r="E584" s="3" t="str">
        <f t="shared" si="295"/>
        <v>Male</v>
      </c>
      <c r="F584" s="5">
        <v>47</v>
      </c>
      <c r="G584" t="s">
        <v>117</v>
      </c>
      <c r="H584" t="s">
        <v>118</v>
      </c>
      <c r="I584" t="s">
        <v>283</v>
      </c>
      <c r="J584" s="5">
        <v>28</v>
      </c>
      <c r="K584" s="3" t="str" cm="1">
        <f t="array" ref="K584">_xlfn.IFS(J584&lt;=5, "0-5", J584&lt;=10, "6-10", J584&lt;=15, "11-15", J584&lt;=20, "16-20", J584&gt;20, "21+")</f>
        <v>21+</v>
      </c>
      <c r="L584" t="s">
        <v>112</v>
      </c>
      <c r="M584" s="4" t="str">
        <f t="shared" si="299"/>
        <v>50</v>
      </c>
      <c r="N584" s="4">
        <f t="shared" si="296"/>
        <v>50</v>
      </c>
      <c r="O584" s="5">
        <v>2.9</v>
      </c>
      <c r="P584" t="b">
        <v>1</v>
      </c>
      <c r="Q584" t="s">
        <v>28</v>
      </c>
      <c r="S584" s="7"/>
    </row>
    <row r="585" spans="1:19" ht="13.5" x14ac:dyDescent="0.25">
      <c r="A585" t="s">
        <v>1354</v>
      </c>
      <c r="B585" t="s">
        <v>1355</v>
      </c>
      <c r="C585" t="str">
        <f t="shared" si="272"/>
        <v>Timothy Bennett</v>
      </c>
      <c r="D585" t="s">
        <v>43</v>
      </c>
      <c r="E585" s="3" t="str">
        <f t="shared" si="295"/>
        <v>Male</v>
      </c>
      <c r="F585" s="5">
        <v>34</v>
      </c>
      <c r="G585" t="s">
        <v>146</v>
      </c>
      <c r="H585" t="s">
        <v>147</v>
      </c>
      <c r="I585" t="s">
        <v>291</v>
      </c>
      <c r="J585" s="5">
        <v>0</v>
      </c>
      <c r="K585" s="3" t="str" cm="1">
        <f t="array" ref="K585">_xlfn.IFS(J585&lt;=5, "0-5", J585&lt;=10, "6-10", J585&lt;=15, "11-15", J585&lt;=20, "16-20", J585&gt;20, "21+")</f>
        <v>0-5</v>
      </c>
      <c r="L585">
        <v>40</v>
      </c>
      <c r="M585" s="4">
        <f>L585</f>
        <v>40</v>
      </c>
      <c r="N585" s="4">
        <f t="shared" si="296"/>
        <v>40</v>
      </c>
      <c r="O585" s="5">
        <v>3.3</v>
      </c>
      <c r="P585">
        <v>0</v>
      </c>
      <c r="Q585" t="s">
        <v>54</v>
      </c>
      <c r="R585" s="1">
        <v>0.98</v>
      </c>
      <c r="S585" s="6">
        <f t="shared" ref="S585:S587" si="300">R585</f>
        <v>0.98</v>
      </c>
    </row>
    <row r="586" spans="1:19" ht="13.5" x14ac:dyDescent="0.25">
      <c r="A586" t="s">
        <v>1356</v>
      </c>
      <c r="B586" t="s">
        <v>1357</v>
      </c>
      <c r="C586" t="str">
        <f t="shared" si="272"/>
        <v>Gregory Randall</v>
      </c>
      <c r="D586" t="s">
        <v>328</v>
      </c>
      <c r="E586" s="3" t="str">
        <f t="shared" si="295"/>
        <v>Male</v>
      </c>
      <c r="F586" s="5">
        <v>47</v>
      </c>
      <c r="G586" t="s">
        <v>183</v>
      </c>
      <c r="H586" t="s">
        <v>39</v>
      </c>
      <c r="I586" t="s">
        <v>286</v>
      </c>
      <c r="J586" s="5">
        <v>4</v>
      </c>
      <c r="K586" s="3" t="str" cm="1">
        <f t="array" ref="K586">_xlfn.IFS(J586&lt;=5, "0-5", J586&lt;=10, "6-10", J586&lt;=15, "11-15", J586&lt;=20, "16-20", J586&gt;20, "21+")</f>
        <v>0-5</v>
      </c>
      <c r="L586" t="s">
        <v>78</v>
      </c>
      <c r="M586" s="4" t="str">
        <f t="shared" ref="M586:M587" si="301">_xlfn.TEXTAFTER(L586, " ")</f>
        <v>20</v>
      </c>
      <c r="N586" s="4">
        <f t="shared" si="296"/>
        <v>20</v>
      </c>
      <c r="O586" s="5">
        <v>4.2</v>
      </c>
      <c r="R586" s="1">
        <v>0.82</v>
      </c>
      <c r="S586" s="6">
        <f t="shared" si="300"/>
        <v>0.82</v>
      </c>
    </row>
    <row r="587" spans="1:19" ht="13.5" x14ac:dyDescent="0.25">
      <c r="A587" t="s">
        <v>1358</v>
      </c>
      <c r="B587" t="s">
        <v>1359</v>
      </c>
      <c r="C587" t="str">
        <f t="shared" si="272"/>
        <v>Charles Martinez</v>
      </c>
      <c r="D587" t="s">
        <v>328</v>
      </c>
      <c r="E587" s="3" t="str">
        <f t="shared" si="295"/>
        <v>Male</v>
      </c>
      <c r="F587" s="5">
        <v>32</v>
      </c>
      <c r="G587" t="s">
        <v>44</v>
      </c>
      <c r="H587" t="s">
        <v>24</v>
      </c>
      <c r="I587" t="s">
        <v>286</v>
      </c>
      <c r="J587" s="5">
        <v>9</v>
      </c>
      <c r="K587" s="3" t="str" cm="1">
        <f t="array" ref="K587">_xlfn.IFS(J587&lt;=5, "0-5", J587&lt;=10, "6-10", J587&lt;=15, "11-15", J587&lt;=20, "16-20", J587&gt;20, "21+")</f>
        <v>6-10</v>
      </c>
      <c r="L587" t="s">
        <v>99</v>
      </c>
      <c r="M587" s="4" t="str">
        <f t="shared" si="301"/>
        <v>40</v>
      </c>
      <c r="N587" s="4">
        <f t="shared" si="296"/>
        <v>40</v>
      </c>
      <c r="O587" s="5">
        <v>1.3</v>
      </c>
      <c r="P587" t="b">
        <v>1</v>
      </c>
      <c r="Q587" t="s">
        <v>28</v>
      </c>
      <c r="R587" s="1">
        <v>0.83</v>
      </c>
      <c r="S587" s="6">
        <f t="shared" si="300"/>
        <v>0.83</v>
      </c>
    </row>
    <row r="588" spans="1:19" ht="13.5" x14ac:dyDescent="0.25">
      <c r="A588" t="s">
        <v>1360</v>
      </c>
      <c r="B588" t="s">
        <v>1361</v>
      </c>
      <c r="C588" t="str">
        <f t="shared" si="272"/>
        <v>James Hall</v>
      </c>
      <c r="D588" t="s">
        <v>328</v>
      </c>
      <c r="E588" s="3" t="str">
        <f t="shared" si="295"/>
        <v>Male</v>
      </c>
      <c r="F588" s="5">
        <v>28</v>
      </c>
      <c r="G588" t="s">
        <v>152</v>
      </c>
      <c r="H588" t="s">
        <v>39</v>
      </c>
      <c r="I588" t="s">
        <v>285</v>
      </c>
      <c r="J588" s="5">
        <v>2</v>
      </c>
      <c r="K588" s="3" t="str" cm="1">
        <f t="array" ref="K588">_xlfn.IFS(J588&lt;=5, "0-5", J588&lt;=10, "6-10", J588&lt;=15, "11-15", J588&lt;=20, "16-20", J588&gt;20, "21+")</f>
        <v>0-5</v>
      </c>
      <c r="L588" s="2">
        <v>100</v>
      </c>
      <c r="M588" s="4" t="str">
        <f>SUBSTITUTE(L588, "$","")</f>
        <v>100</v>
      </c>
      <c r="N588" s="4">
        <f t="shared" si="296"/>
        <v>100</v>
      </c>
      <c r="O588" s="5">
        <v>4.4000000000000004</v>
      </c>
      <c r="P588" t="b">
        <v>1</v>
      </c>
      <c r="Q588" t="s">
        <v>28</v>
      </c>
      <c r="S588" s="7"/>
    </row>
    <row r="589" spans="1:19" ht="13.5" x14ac:dyDescent="0.25">
      <c r="A589" t="s">
        <v>1362</v>
      </c>
      <c r="B589" t="s">
        <v>1363</v>
      </c>
      <c r="C589" t="str">
        <f t="shared" si="272"/>
        <v>Michael Garcia</v>
      </c>
      <c r="D589" t="s">
        <v>43</v>
      </c>
      <c r="E589" s="3" t="str">
        <f t="shared" si="295"/>
        <v>Male</v>
      </c>
      <c r="F589" s="5">
        <v>32</v>
      </c>
      <c r="G589" t="s">
        <v>38</v>
      </c>
      <c r="H589" t="s">
        <v>39</v>
      </c>
      <c r="I589" t="s">
        <v>283</v>
      </c>
      <c r="J589" s="5">
        <v>1</v>
      </c>
      <c r="K589" s="3" t="str" cm="1">
        <f t="array" ref="K589">_xlfn.IFS(J589&lt;=5, "0-5", J589&lt;=10, "6-10", J589&lt;=15, "11-15", J589&lt;=20, "16-20", J589&gt;20, "21+")</f>
        <v>0-5</v>
      </c>
      <c r="L589">
        <v>100</v>
      </c>
      <c r="M589" s="4">
        <f>L589</f>
        <v>100</v>
      </c>
      <c r="N589" s="4">
        <f t="shared" si="296"/>
        <v>100</v>
      </c>
      <c r="O589" s="5">
        <v>3.4</v>
      </c>
      <c r="P589" t="b">
        <v>1</v>
      </c>
      <c r="Q589" t="s">
        <v>28</v>
      </c>
      <c r="S589" s="7"/>
    </row>
    <row r="590" spans="1:19" ht="13.5" x14ac:dyDescent="0.25">
      <c r="A590" t="s">
        <v>184</v>
      </c>
      <c r="B590" t="s">
        <v>185</v>
      </c>
      <c r="C590" t="str">
        <f t="shared" si="272"/>
        <v>Michele Duran</v>
      </c>
      <c r="D590" t="s">
        <v>301</v>
      </c>
      <c r="E590" s="3" t="str">
        <f t="shared" si="295"/>
        <v>Female</v>
      </c>
      <c r="F590" s="5">
        <v>49</v>
      </c>
      <c r="G590" t="s">
        <v>52</v>
      </c>
      <c r="H590" t="s">
        <v>53</v>
      </c>
      <c r="I590" t="s">
        <v>25</v>
      </c>
      <c r="J590" s="5">
        <v>2</v>
      </c>
      <c r="K590" s="3" t="str" cm="1">
        <f t="array" ref="K590">_xlfn.IFS(J590&lt;=5, "0-5", J590&lt;=10, "6-10", J590&lt;=15, "11-15", J590&lt;=20, "16-20", J590&gt;20, "21+")</f>
        <v>0-5</v>
      </c>
      <c r="L590" s="2">
        <v>100</v>
      </c>
      <c r="M590" s="4" t="str">
        <f>SUBSTITUTE(L590, "$","")</f>
        <v>100</v>
      </c>
      <c r="N590" s="4">
        <f t="shared" si="296"/>
        <v>100</v>
      </c>
      <c r="O590" s="5">
        <v>3.4</v>
      </c>
      <c r="P590">
        <v>1</v>
      </c>
      <c r="Q590" t="s">
        <v>28</v>
      </c>
      <c r="R590" s="1">
        <v>0.85</v>
      </c>
      <c r="S590" s="6">
        <f>R590</f>
        <v>0.85</v>
      </c>
    </row>
    <row r="591" spans="1:19" ht="13.5" x14ac:dyDescent="0.25">
      <c r="A591" t="s">
        <v>1364</v>
      </c>
      <c r="B591" t="s">
        <v>1365</v>
      </c>
      <c r="C591" t="str">
        <f t="shared" si="272"/>
        <v>Jessica Gray</v>
      </c>
      <c r="D591" t="s">
        <v>37</v>
      </c>
      <c r="E591" s="3" t="str">
        <f t="shared" si="295"/>
        <v>Female</v>
      </c>
      <c r="F591" s="5">
        <v>36</v>
      </c>
      <c r="G591" t="s">
        <v>23</v>
      </c>
      <c r="H591" t="s">
        <v>24</v>
      </c>
      <c r="I591" t="s">
        <v>285</v>
      </c>
      <c r="J591" s="5">
        <v>16</v>
      </c>
      <c r="K591" s="3" t="str" cm="1">
        <f t="array" ref="K591">_xlfn.IFS(J591&lt;=5, "0-5", J591&lt;=10, "6-10", J591&lt;=15, "11-15", J591&lt;=20, "16-20", J591&gt;20, "21+")</f>
        <v>16-20</v>
      </c>
      <c r="L591" t="s">
        <v>78</v>
      </c>
      <c r="M591" s="4" t="str">
        <f t="shared" ref="M591:M592" si="302">_xlfn.TEXTAFTER(L591, " ")</f>
        <v>20</v>
      </c>
      <c r="N591" s="4">
        <f t="shared" si="296"/>
        <v>20</v>
      </c>
      <c r="O591" s="5">
        <v>3.2</v>
      </c>
      <c r="S591" s="7"/>
    </row>
    <row r="592" spans="1:19" ht="13.5" x14ac:dyDescent="0.25">
      <c r="A592" t="s">
        <v>1366</v>
      </c>
      <c r="B592" t="s">
        <v>1367</v>
      </c>
      <c r="C592" t="str">
        <f t="shared" ref="C592:C601" si="303">B592</f>
        <v>Keith Shaffer</v>
      </c>
      <c r="D592" t="s">
        <v>328</v>
      </c>
      <c r="E592" s="3" t="str">
        <f t="shared" si="295"/>
        <v>Male</v>
      </c>
      <c r="F592" s="5">
        <v>59</v>
      </c>
      <c r="G592" t="s">
        <v>44</v>
      </c>
      <c r="H592" t="s">
        <v>24</v>
      </c>
      <c r="I592" t="s">
        <v>292</v>
      </c>
      <c r="J592" s="5">
        <v>22</v>
      </c>
      <c r="K592" s="3" t="str" cm="1">
        <f t="array" ref="K592">_xlfn.IFS(J592&lt;=5, "0-5", J592&lt;=10, "6-10", J592&lt;=15, "11-15", J592&lt;=20, "16-20", J592&gt;20, "21+")</f>
        <v>21+</v>
      </c>
      <c r="L592" t="s">
        <v>78</v>
      </c>
      <c r="M592" s="4" t="str">
        <f t="shared" si="302"/>
        <v>20</v>
      </c>
      <c r="N592" s="4">
        <f t="shared" si="296"/>
        <v>20</v>
      </c>
      <c r="O592" s="5">
        <v>3.6</v>
      </c>
      <c r="P592" t="s">
        <v>64</v>
      </c>
      <c r="Q592" t="s">
        <v>54</v>
      </c>
      <c r="R592" s="1">
        <v>0.63</v>
      </c>
      <c r="S592" s="6">
        <f>R592</f>
        <v>0.63</v>
      </c>
    </row>
    <row r="593" spans="1:19" ht="13.5" x14ac:dyDescent="0.25">
      <c r="A593" t="s">
        <v>1368</v>
      </c>
      <c r="B593" t="s">
        <v>1369</v>
      </c>
      <c r="C593" t="str">
        <f t="shared" si="303"/>
        <v>Jessica Decker</v>
      </c>
      <c r="D593" t="s">
        <v>304</v>
      </c>
      <c r="E593" s="3" t="str">
        <f t="shared" si="295"/>
        <v>Female</v>
      </c>
      <c r="F593" s="5">
        <v>52</v>
      </c>
      <c r="G593" t="s">
        <v>125</v>
      </c>
      <c r="H593" t="s">
        <v>39</v>
      </c>
      <c r="I593" t="s">
        <v>288</v>
      </c>
      <c r="J593" s="5">
        <v>22</v>
      </c>
      <c r="K593" s="3" t="str" cm="1">
        <f t="array" ref="K593">_xlfn.IFS(J593&lt;=5, "0-5", J593&lt;=10, "6-10", J593&lt;=15, "11-15", J593&lt;=20, "16-20", J593&gt;20, "21+")</f>
        <v>21+</v>
      </c>
      <c r="L593" s="2">
        <v>20</v>
      </c>
      <c r="M593" s="4" t="str">
        <f>SUBSTITUTE(L593, "$","")</f>
        <v>20</v>
      </c>
      <c r="N593" s="4">
        <f t="shared" si="296"/>
        <v>20</v>
      </c>
      <c r="O593" s="5">
        <v>0</v>
      </c>
      <c r="P593">
        <v>0</v>
      </c>
      <c r="Q593" t="s">
        <v>54</v>
      </c>
      <c r="S593" s="7"/>
    </row>
    <row r="594" spans="1:19" ht="13.5" x14ac:dyDescent="0.25">
      <c r="A594" t="s">
        <v>1370</v>
      </c>
      <c r="B594" t="s">
        <v>1371</v>
      </c>
      <c r="C594" t="str">
        <f t="shared" si="303"/>
        <v>Brianna Pittman</v>
      </c>
      <c r="D594" t="s">
        <v>304</v>
      </c>
      <c r="E594" s="3" t="str">
        <f t="shared" si="295"/>
        <v>Female</v>
      </c>
      <c r="F594" s="5">
        <v>24</v>
      </c>
      <c r="G594" t="s">
        <v>165</v>
      </c>
      <c r="H594" t="s">
        <v>166</v>
      </c>
      <c r="I594" t="s">
        <v>292</v>
      </c>
      <c r="J594" s="5">
        <v>5</v>
      </c>
      <c r="K594" s="3" t="str" cm="1">
        <f t="array" ref="K594">_xlfn.IFS(J594&lt;=5, "0-5", J594&lt;=10, "6-10", J594&lt;=15, "11-15", J594&lt;=20, "16-20", J594&gt;20, "21+")</f>
        <v>0-5</v>
      </c>
      <c r="L594">
        <v>40</v>
      </c>
      <c r="M594" s="4">
        <f>L594</f>
        <v>40</v>
      </c>
      <c r="N594" s="4">
        <f t="shared" si="296"/>
        <v>40</v>
      </c>
      <c r="O594" s="5">
        <v>1.8</v>
      </c>
      <c r="P594">
        <v>1</v>
      </c>
      <c r="Q594" t="s">
        <v>28</v>
      </c>
      <c r="R594" s="1">
        <v>0.86</v>
      </c>
      <c r="S594" s="6">
        <f>R594</f>
        <v>0.86</v>
      </c>
    </row>
    <row r="595" spans="1:19" ht="13.5" x14ac:dyDescent="0.25">
      <c r="A595" t="s">
        <v>1372</v>
      </c>
      <c r="B595" t="s">
        <v>1373</v>
      </c>
      <c r="C595" t="str">
        <f t="shared" si="303"/>
        <v>Kimberly Hunter</v>
      </c>
      <c r="D595" t="s">
        <v>21</v>
      </c>
      <c r="E595" s="3" t="str">
        <f t="shared" si="295"/>
        <v>Female</v>
      </c>
      <c r="F595" s="5">
        <v>26</v>
      </c>
      <c r="G595" t="s">
        <v>38</v>
      </c>
      <c r="H595" t="s">
        <v>39</v>
      </c>
      <c r="I595" t="s">
        <v>287</v>
      </c>
      <c r="J595" s="5">
        <v>2</v>
      </c>
      <c r="K595" s="3" t="str" cm="1">
        <f t="array" ref="K595">_xlfn.IFS(J595&lt;=5, "0-5", J595&lt;=10, "6-10", J595&lt;=15, "11-15", J595&lt;=20, "16-20", J595&gt;20, "21+")</f>
        <v>0-5</v>
      </c>
      <c r="L595" t="s">
        <v>92</v>
      </c>
      <c r="M595" s="4" t="str">
        <f t="shared" ref="M595" si="304">_xlfn.TEXTAFTER(L595, " ")</f>
        <v>75</v>
      </c>
      <c r="N595" s="4">
        <f t="shared" si="296"/>
        <v>75</v>
      </c>
      <c r="O595" s="5">
        <v>2.5</v>
      </c>
      <c r="P595" t="s">
        <v>27</v>
      </c>
      <c r="Q595" t="s">
        <v>28</v>
      </c>
      <c r="R595">
        <v>60</v>
      </c>
      <c r="S595" s="6">
        <f t="shared" ref="S595:S596" si="305">R595/100</f>
        <v>0.6</v>
      </c>
    </row>
    <row r="596" spans="1:19" ht="13.5" x14ac:dyDescent="0.25">
      <c r="A596" t="s">
        <v>1374</v>
      </c>
      <c r="B596" t="s">
        <v>1375</v>
      </c>
      <c r="C596" t="str">
        <f t="shared" si="303"/>
        <v>Daniel Martin</v>
      </c>
      <c r="D596" t="s">
        <v>328</v>
      </c>
      <c r="E596" s="3" t="str">
        <f t="shared" si="295"/>
        <v>Male</v>
      </c>
      <c r="F596" s="5">
        <v>55</v>
      </c>
      <c r="G596" t="s">
        <v>125</v>
      </c>
      <c r="H596" t="s">
        <v>39</v>
      </c>
      <c r="I596" t="s">
        <v>288</v>
      </c>
      <c r="J596" s="5">
        <v>24</v>
      </c>
      <c r="K596" s="3" t="str" cm="1">
        <f t="array" ref="K596">_xlfn.IFS(J596&lt;=5, "0-5", J596&lt;=10, "6-10", J596&lt;=15, "11-15", J596&lt;=20, "16-20", J596&gt;20, "21+")</f>
        <v>21+</v>
      </c>
      <c r="L596">
        <v>40</v>
      </c>
      <c r="M596" s="4">
        <f t="shared" ref="M596:M597" si="306">L596</f>
        <v>40</v>
      </c>
      <c r="N596" s="4">
        <f t="shared" si="296"/>
        <v>40</v>
      </c>
      <c r="O596" s="5">
        <v>2</v>
      </c>
      <c r="P596">
        <v>1</v>
      </c>
      <c r="Q596" t="s">
        <v>28</v>
      </c>
      <c r="R596">
        <v>88</v>
      </c>
      <c r="S596" s="6">
        <f t="shared" si="305"/>
        <v>0.88</v>
      </c>
    </row>
    <row r="597" spans="1:19" ht="13.5" x14ac:dyDescent="0.25">
      <c r="A597" t="s">
        <v>1376</v>
      </c>
      <c r="B597" t="s">
        <v>1377</v>
      </c>
      <c r="C597" t="str">
        <f t="shared" si="303"/>
        <v>Rachel Smith</v>
      </c>
      <c r="D597" t="s">
        <v>21</v>
      </c>
      <c r="E597" s="3" t="str">
        <f t="shared" si="295"/>
        <v>Female</v>
      </c>
      <c r="F597" s="5">
        <v>56</v>
      </c>
      <c r="G597" t="s">
        <v>253</v>
      </c>
      <c r="H597" t="s">
        <v>254</v>
      </c>
      <c r="I597" t="s">
        <v>285</v>
      </c>
      <c r="J597" s="5">
        <v>37</v>
      </c>
      <c r="K597" s="3" t="str" cm="1">
        <f t="array" ref="K597">_xlfn.IFS(J597&lt;=5, "0-5", J597&lt;=10, "6-10", J597&lt;=15, "11-15", J597&lt;=20, "16-20", J597&gt;20, "21+")</f>
        <v>21+</v>
      </c>
      <c r="L597">
        <v>40</v>
      </c>
      <c r="M597" s="4">
        <f t="shared" si="306"/>
        <v>40</v>
      </c>
      <c r="N597" s="4">
        <f t="shared" si="296"/>
        <v>40</v>
      </c>
      <c r="O597" s="5">
        <v>0</v>
      </c>
      <c r="P597" t="s">
        <v>64</v>
      </c>
      <c r="Q597" t="s">
        <v>54</v>
      </c>
      <c r="R597" s="1">
        <v>0.7</v>
      </c>
      <c r="S597" s="6">
        <f t="shared" ref="S597:S599" si="307">R597</f>
        <v>0.7</v>
      </c>
    </row>
    <row r="598" spans="1:19" ht="13.5" x14ac:dyDescent="0.25">
      <c r="A598" t="s">
        <v>1378</v>
      </c>
      <c r="B598" t="s">
        <v>1379</v>
      </c>
      <c r="C598" t="str">
        <f t="shared" si="303"/>
        <v>Michael Miller</v>
      </c>
      <c r="D598" t="s">
        <v>43</v>
      </c>
      <c r="E598" s="3" t="str">
        <f t="shared" si="295"/>
        <v>Male</v>
      </c>
      <c r="F598" s="5">
        <v>36</v>
      </c>
      <c r="G598" t="s">
        <v>132</v>
      </c>
      <c r="H598" t="s">
        <v>133</v>
      </c>
      <c r="I598" t="s">
        <v>287</v>
      </c>
      <c r="J598" s="5">
        <v>3</v>
      </c>
      <c r="K598" s="3" t="str" cm="1">
        <f t="array" ref="K598">_xlfn.IFS(J598&lt;=5, "0-5", J598&lt;=10, "6-10", J598&lt;=15, "11-15", J598&lt;=20, "16-20", J598&gt;20, "21+")</f>
        <v>0-5</v>
      </c>
      <c r="L598" t="s">
        <v>112</v>
      </c>
      <c r="M598" s="4" t="str">
        <f t="shared" ref="M598" si="308">_xlfn.TEXTAFTER(L598, " ")</f>
        <v>50</v>
      </c>
      <c r="N598" s="4">
        <f t="shared" si="296"/>
        <v>50</v>
      </c>
      <c r="O598" s="5">
        <v>1.3</v>
      </c>
      <c r="P598">
        <v>1</v>
      </c>
      <c r="Q598" t="s">
        <v>28</v>
      </c>
      <c r="R598" s="1">
        <v>0.77</v>
      </c>
      <c r="S598" s="6">
        <f t="shared" si="307"/>
        <v>0.77</v>
      </c>
    </row>
    <row r="599" spans="1:19" ht="13.5" x14ac:dyDescent="0.25">
      <c r="A599" t="s">
        <v>1380</v>
      </c>
      <c r="B599" t="s">
        <v>1381</v>
      </c>
      <c r="C599" t="str">
        <f t="shared" si="303"/>
        <v>Willie Clark</v>
      </c>
      <c r="D599" t="s">
        <v>328</v>
      </c>
      <c r="E599" s="3" t="str">
        <f t="shared" si="295"/>
        <v>Male</v>
      </c>
      <c r="F599" s="5">
        <v>48</v>
      </c>
      <c r="G599" t="s">
        <v>23</v>
      </c>
      <c r="H599" t="s">
        <v>24</v>
      </c>
      <c r="I599" t="s">
        <v>290</v>
      </c>
      <c r="J599" s="5">
        <v>18</v>
      </c>
      <c r="K599" s="3" t="str" cm="1">
        <f t="array" ref="K599">_xlfn.IFS(J599&lt;=5, "0-5", J599&lt;=10, "6-10", J599&lt;=15, "11-15", J599&lt;=20, "16-20", J599&gt;20, "21+")</f>
        <v>16-20</v>
      </c>
      <c r="L599">
        <v>75</v>
      </c>
      <c r="M599" s="4">
        <f>L599</f>
        <v>75</v>
      </c>
      <c r="N599" s="4">
        <f t="shared" si="296"/>
        <v>75</v>
      </c>
      <c r="O599" s="5">
        <v>0</v>
      </c>
      <c r="P599">
        <v>0</v>
      </c>
      <c r="Q599" t="s">
        <v>54</v>
      </c>
      <c r="R599" s="1">
        <v>0.8</v>
      </c>
      <c r="S599" s="6">
        <f t="shared" si="307"/>
        <v>0.8</v>
      </c>
    </row>
    <row r="600" spans="1:19" ht="13.5" x14ac:dyDescent="0.25">
      <c r="A600" t="s">
        <v>1382</v>
      </c>
      <c r="B600" t="s">
        <v>1383</v>
      </c>
      <c r="C600" t="str">
        <f t="shared" si="303"/>
        <v>Jeremy Hernandez</v>
      </c>
      <c r="D600" t="s">
        <v>32</v>
      </c>
      <c r="E600" s="3" t="str">
        <f t="shared" si="295"/>
        <v>Male</v>
      </c>
      <c r="F600" s="5">
        <v>55</v>
      </c>
      <c r="G600" t="s">
        <v>117</v>
      </c>
      <c r="H600" t="s">
        <v>118</v>
      </c>
      <c r="I600" t="s">
        <v>284</v>
      </c>
      <c r="J600" s="5">
        <v>6</v>
      </c>
      <c r="K600" s="3" t="str" cm="1">
        <f t="array" ref="K600">_xlfn.IFS(J600&lt;=5, "0-5", J600&lt;=10, "6-10", J600&lt;=15, "11-15", J600&lt;=20, "16-20", J600&gt;20, "21+")</f>
        <v>6-10</v>
      </c>
      <c r="L600" s="2">
        <v>40</v>
      </c>
      <c r="M600" s="4" t="str">
        <f>SUBSTITUTE(L600, "$","")</f>
        <v>40</v>
      </c>
      <c r="N600" s="4">
        <f t="shared" si="296"/>
        <v>40</v>
      </c>
      <c r="O600" s="5">
        <v>3.6</v>
      </c>
      <c r="P600" t="s">
        <v>57</v>
      </c>
      <c r="Q600" t="s">
        <v>28</v>
      </c>
      <c r="S600" s="7"/>
    </row>
    <row r="601" spans="1:19" ht="13.5" x14ac:dyDescent="0.25">
      <c r="A601" t="s">
        <v>1384</v>
      </c>
      <c r="B601" t="s">
        <v>1385</v>
      </c>
      <c r="C601" t="str">
        <f t="shared" si="303"/>
        <v>Tina Shelton</v>
      </c>
      <c r="D601" t="s">
        <v>304</v>
      </c>
      <c r="E601" s="3" t="str">
        <f t="shared" si="295"/>
        <v>Female</v>
      </c>
      <c r="F601" s="5">
        <v>56</v>
      </c>
      <c r="G601" t="s">
        <v>84</v>
      </c>
      <c r="H601" t="s">
        <v>24</v>
      </c>
      <c r="I601" t="s">
        <v>283</v>
      </c>
      <c r="J601" s="5">
        <v>17</v>
      </c>
      <c r="K601" s="3" t="str" cm="1">
        <f t="array" ref="K601">_xlfn.IFS(J601&lt;=5, "0-5", J601&lt;=10, "6-10", J601&lt;=15, "11-15", J601&lt;=20, "16-20", J601&gt;20, "21+")</f>
        <v>16-20</v>
      </c>
      <c r="N601" s="4" t="str">
        <f t="shared" si="296"/>
        <v>NA</v>
      </c>
      <c r="O601" s="5">
        <v>1.3</v>
      </c>
      <c r="R601" s="1">
        <v>0.87</v>
      </c>
      <c r="S601" s="6">
        <f t="shared" ref="S601:S602" si="309">R601</f>
        <v>0.87</v>
      </c>
    </row>
    <row r="602" spans="1:19" ht="13.5" x14ac:dyDescent="0.25">
      <c r="A602" t="s">
        <v>1386</v>
      </c>
      <c r="B602" t="s">
        <v>1387</v>
      </c>
      <c r="C602" t="str">
        <f>_xlfn.TEXTAFTER(B602,". ",)</f>
        <v>Pamela Larson</v>
      </c>
      <c r="D602" t="s">
        <v>22</v>
      </c>
      <c r="E602" s="3" t="str">
        <f t="shared" si="295"/>
        <v>Female</v>
      </c>
      <c r="F602" s="5">
        <v>28</v>
      </c>
      <c r="G602" t="s">
        <v>125</v>
      </c>
      <c r="H602" t="s">
        <v>39</v>
      </c>
      <c r="I602" t="s">
        <v>292</v>
      </c>
      <c r="J602" s="5">
        <v>1</v>
      </c>
      <c r="K602" s="3" t="str" cm="1">
        <f t="array" ref="K602">_xlfn.IFS(J602&lt;=5, "0-5", J602&lt;=10, "6-10", J602&lt;=15, "11-15", J602&lt;=20, "16-20", J602&gt;20, "21+")</f>
        <v>0-5</v>
      </c>
      <c r="L602">
        <v>75</v>
      </c>
      <c r="M602" s="4">
        <f>L602</f>
        <v>75</v>
      </c>
      <c r="N602" s="4">
        <f t="shared" si="296"/>
        <v>75</v>
      </c>
      <c r="O602" s="5">
        <v>2.7</v>
      </c>
      <c r="P602" t="b">
        <v>1</v>
      </c>
      <c r="Q602" t="s">
        <v>28</v>
      </c>
      <c r="R602" s="1">
        <v>0.93</v>
      </c>
      <c r="S602" s="6">
        <f t="shared" si="309"/>
        <v>0.93</v>
      </c>
    </row>
    <row r="603" spans="1:19" ht="13.5" x14ac:dyDescent="0.25">
      <c r="A603" t="s">
        <v>181</v>
      </c>
      <c r="B603" t="s">
        <v>182</v>
      </c>
      <c r="C603" t="str">
        <f t="shared" ref="C603:C666" si="310">B603</f>
        <v>Ryan Ewing</v>
      </c>
      <c r="D603" t="s">
        <v>31</v>
      </c>
      <c r="E603" s="3" t="str">
        <f t="shared" si="295"/>
        <v>Male</v>
      </c>
      <c r="F603" s="5">
        <v>60</v>
      </c>
      <c r="G603" t="s">
        <v>183</v>
      </c>
      <c r="H603" t="s">
        <v>39</v>
      </c>
      <c r="I603" t="s">
        <v>25</v>
      </c>
      <c r="J603" s="5">
        <v>39</v>
      </c>
      <c r="K603" s="3" t="str" cm="1">
        <f t="array" ref="K603">_xlfn.IFS(J603&lt;=5, "0-5", J603&lt;=10, "6-10", J603&lt;=15, "11-15", J603&lt;=20, "16-20", J603&gt;20, "21+")</f>
        <v>21+</v>
      </c>
      <c r="L603" t="s">
        <v>40</v>
      </c>
      <c r="M603" s="4" t="str">
        <f t="shared" ref="M603" si="311">_xlfn.TEXTAFTER(L603, " ")</f>
        <v>100</v>
      </c>
      <c r="N603" s="4">
        <f t="shared" si="296"/>
        <v>100</v>
      </c>
      <c r="O603" s="5">
        <v>1.5</v>
      </c>
      <c r="R603">
        <v>88</v>
      </c>
      <c r="S603" s="6">
        <f>R603/100</f>
        <v>0.88</v>
      </c>
    </row>
    <row r="604" spans="1:19" ht="13.5" x14ac:dyDescent="0.25">
      <c r="A604" t="s">
        <v>1388</v>
      </c>
      <c r="B604" t="s">
        <v>1389</v>
      </c>
      <c r="C604" t="str">
        <f t="shared" si="310"/>
        <v>Mark Cochran</v>
      </c>
      <c r="D604" t="s">
        <v>31</v>
      </c>
      <c r="E604" s="3" t="str">
        <f t="shared" si="295"/>
        <v>Male</v>
      </c>
      <c r="F604" s="5">
        <v>34</v>
      </c>
      <c r="G604" t="s">
        <v>62</v>
      </c>
      <c r="H604" t="s">
        <v>63</v>
      </c>
      <c r="I604" t="s">
        <v>292</v>
      </c>
      <c r="J604" s="5">
        <v>15</v>
      </c>
      <c r="K604" s="3" t="str" cm="1">
        <f t="array" ref="K604">_xlfn.IFS(J604&lt;=5, "0-5", J604&lt;=10, "6-10", J604&lt;=15, "11-15", J604&lt;=20, "16-20", J604&gt;20, "21+")</f>
        <v>11-15</v>
      </c>
      <c r="L604">
        <v>20</v>
      </c>
      <c r="M604" s="4">
        <f>L604</f>
        <v>20</v>
      </c>
      <c r="N604" s="4">
        <f t="shared" si="296"/>
        <v>20</v>
      </c>
      <c r="O604" s="5">
        <v>0</v>
      </c>
      <c r="P604">
        <v>0</v>
      </c>
      <c r="Q604" t="s">
        <v>54</v>
      </c>
      <c r="R604" s="1">
        <v>1</v>
      </c>
      <c r="S604" s="6">
        <f>R604</f>
        <v>1</v>
      </c>
    </row>
    <row r="605" spans="1:19" ht="13.5" x14ac:dyDescent="0.25">
      <c r="A605" t="s">
        <v>179</v>
      </c>
      <c r="B605" t="s">
        <v>180</v>
      </c>
      <c r="C605" t="str">
        <f t="shared" si="310"/>
        <v>Martha Carson</v>
      </c>
      <c r="D605" t="s">
        <v>304</v>
      </c>
      <c r="E605" s="3" t="str">
        <f t="shared" si="295"/>
        <v>Female</v>
      </c>
      <c r="F605" s="5">
        <v>38</v>
      </c>
      <c r="G605" t="s">
        <v>104</v>
      </c>
      <c r="H605" t="s">
        <v>105</v>
      </c>
      <c r="I605" t="s">
        <v>25</v>
      </c>
      <c r="J605" s="5">
        <v>13</v>
      </c>
      <c r="K605" s="3" t="str" cm="1">
        <f t="array" ref="K605">_xlfn.IFS(J605&lt;=5, "0-5", J605&lt;=10, "6-10", J605&lt;=15, "11-15", J605&lt;=20, "16-20", J605&gt;20, "21+")</f>
        <v>11-15</v>
      </c>
      <c r="L605" s="2">
        <v>40</v>
      </c>
      <c r="M605" s="4" t="str">
        <f>SUBSTITUTE(L605, "$","")</f>
        <v>40</v>
      </c>
      <c r="N605" s="4">
        <f t="shared" si="296"/>
        <v>40</v>
      </c>
      <c r="O605" s="5">
        <v>0</v>
      </c>
      <c r="P605">
        <v>1</v>
      </c>
      <c r="Q605" t="s">
        <v>28</v>
      </c>
      <c r="R605">
        <v>61</v>
      </c>
      <c r="S605" s="6">
        <f>R605/100</f>
        <v>0.61</v>
      </c>
    </row>
    <row r="606" spans="1:19" ht="13.5" x14ac:dyDescent="0.25">
      <c r="A606" t="s">
        <v>1390</v>
      </c>
      <c r="B606" t="s">
        <v>1391</v>
      </c>
      <c r="C606" t="str">
        <f t="shared" si="310"/>
        <v>Heather Jackson</v>
      </c>
      <c r="D606" t="s">
        <v>21</v>
      </c>
      <c r="E606" s="3" t="str">
        <f t="shared" si="295"/>
        <v>Female</v>
      </c>
      <c r="F606" s="5">
        <v>51</v>
      </c>
      <c r="G606" t="s">
        <v>62</v>
      </c>
      <c r="H606" t="s">
        <v>63</v>
      </c>
      <c r="I606" t="s">
        <v>290</v>
      </c>
      <c r="J606" s="5">
        <v>17</v>
      </c>
      <c r="K606" s="3" t="str" cm="1">
        <f t="array" ref="K606">_xlfn.IFS(J606&lt;=5, "0-5", J606&lt;=10, "6-10", J606&lt;=15, "11-15", J606&lt;=20, "16-20", J606&gt;20, "21+")</f>
        <v>16-20</v>
      </c>
      <c r="L606">
        <v>100</v>
      </c>
      <c r="M606" s="4">
        <f t="shared" ref="M606:M607" si="312">L606</f>
        <v>100</v>
      </c>
      <c r="N606" s="4">
        <f t="shared" si="296"/>
        <v>100</v>
      </c>
      <c r="O606" s="5">
        <v>3</v>
      </c>
      <c r="P606" t="b">
        <v>0</v>
      </c>
      <c r="Q606" t="s">
        <v>54</v>
      </c>
      <c r="R606" s="1">
        <v>0.79</v>
      </c>
      <c r="S606" s="6">
        <f t="shared" ref="S606:S608" si="313">R606</f>
        <v>0.79</v>
      </c>
    </row>
    <row r="607" spans="1:19" ht="13.5" x14ac:dyDescent="0.25">
      <c r="A607" t="s">
        <v>1392</v>
      </c>
      <c r="B607" t="s">
        <v>1393</v>
      </c>
      <c r="C607" t="str">
        <f t="shared" si="310"/>
        <v>Megan Young</v>
      </c>
      <c r="D607" t="s">
        <v>37</v>
      </c>
      <c r="E607" s="3" t="str">
        <f t="shared" si="295"/>
        <v>Female</v>
      </c>
      <c r="F607" s="5">
        <v>21</v>
      </c>
      <c r="G607" t="s">
        <v>88</v>
      </c>
      <c r="H607" t="s">
        <v>89</v>
      </c>
      <c r="I607" t="s">
        <v>285</v>
      </c>
      <c r="J607" s="5">
        <v>1</v>
      </c>
      <c r="K607" s="3" t="str" cm="1">
        <f t="array" ref="K607">_xlfn.IFS(J607&lt;=5, "0-5", J607&lt;=10, "6-10", J607&lt;=15, "11-15", J607&lt;=20, "16-20", J607&gt;20, "21+")</f>
        <v>0-5</v>
      </c>
      <c r="L607">
        <v>30</v>
      </c>
      <c r="M607" s="4">
        <f t="shared" si="312"/>
        <v>30</v>
      </c>
      <c r="N607" s="4">
        <f t="shared" si="296"/>
        <v>30</v>
      </c>
      <c r="O607" s="5">
        <v>1.2</v>
      </c>
      <c r="R607" s="1">
        <v>0.73</v>
      </c>
      <c r="S607" s="6">
        <f t="shared" si="313"/>
        <v>0.73</v>
      </c>
    </row>
    <row r="608" spans="1:19" ht="13.5" x14ac:dyDescent="0.25">
      <c r="A608" t="s">
        <v>1394</v>
      </c>
      <c r="B608" t="s">
        <v>1395</v>
      </c>
      <c r="C608" t="str">
        <f t="shared" si="310"/>
        <v>Thomas Davis</v>
      </c>
      <c r="D608" t="s">
        <v>328</v>
      </c>
      <c r="E608" s="3" t="str">
        <f t="shared" si="295"/>
        <v>Male</v>
      </c>
      <c r="F608" s="5">
        <v>35</v>
      </c>
      <c r="G608" t="s">
        <v>253</v>
      </c>
      <c r="H608" t="s">
        <v>254</v>
      </c>
      <c r="I608" t="s">
        <v>286</v>
      </c>
      <c r="J608" s="5">
        <v>16</v>
      </c>
      <c r="K608" s="3" t="str" cm="1">
        <f t="array" ref="K608">_xlfn.IFS(J608&lt;=5, "0-5", J608&lt;=10, "6-10", J608&lt;=15, "11-15", J608&lt;=20, "16-20", J608&gt;20, "21+")</f>
        <v>16-20</v>
      </c>
      <c r="N608" s="4" t="str">
        <f t="shared" si="296"/>
        <v>NA</v>
      </c>
      <c r="O608" s="5">
        <v>1.3</v>
      </c>
      <c r="P608">
        <v>1</v>
      </c>
      <c r="Q608" t="s">
        <v>28</v>
      </c>
      <c r="R608" s="1">
        <v>0.64</v>
      </c>
      <c r="S608" s="6">
        <f t="shared" si="313"/>
        <v>0.64</v>
      </c>
    </row>
    <row r="609" spans="1:19" ht="13.5" x14ac:dyDescent="0.25">
      <c r="A609" t="s">
        <v>1396</v>
      </c>
      <c r="B609" t="s">
        <v>1397</v>
      </c>
      <c r="C609" t="str">
        <f t="shared" si="310"/>
        <v>Thomas Mooney</v>
      </c>
      <c r="D609" t="s">
        <v>328</v>
      </c>
      <c r="E609" s="3" t="str">
        <f t="shared" si="295"/>
        <v>Male</v>
      </c>
      <c r="F609" s="5">
        <v>27</v>
      </c>
      <c r="G609" t="s">
        <v>47</v>
      </c>
      <c r="H609" t="s">
        <v>48</v>
      </c>
      <c r="I609" t="s">
        <v>290</v>
      </c>
      <c r="J609" s="5">
        <v>9</v>
      </c>
      <c r="K609" s="3" t="str" cm="1">
        <f t="array" ref="K609">_xlfn.IFS(J609&lt;=5, "0-5", J609&lt;=10, "6-10", J609&lt;=15, "11-15", J609&lt;=20, "16-20", J609&gt;20, "21+")</f>
        <v>6-10</v>
      </c>
      <c r="L609" s="2">
        <v>100</v>
      </c>
      <c r="M609" s="4" t="str">
        <f>SUBSTITUTE(L609, "$","")</f>
        <v>100</v>
      </c>
      <c r="N609" s="4">
        <f t="shared" si="296"/>
        <v>100</v>
      </c>
      <c r="P609" t="b">
        <v>1</v>
      </c>
      <c r="Q609" t="s">
        <v>28</v>
      </c>
      <c r="S609" s="7"/>
    </row>
    <row r="610" spans="1:19" ht="13.5" x14ac:dyDescent="0.25">
      <c r="A610" t="s">
        <v>1398</v>
      </c>
      <c r="B610" t="s">
        <v>1399</v>
      </c>
      <c r="C610" t="str">
        <f t="shared" si="310"/>
        <v>Susan Smith</v>
      </c>
      <c r="D610" t="s">
        <v>21</v>
      </c>
      <c r="E610" s="3" t="str">
        <f t="shared" si="295"/>
        <v>Female</v>
      </c>
      <c r="F610" s="5">
        <v>42</v>
      </c>
      <c r="G610" t="s">
        <v>67</v>
      </c>
      <c r="H610" t="s">
        <v>68</v>
      </c>
      <c r="I610" t="s">
        <v>285</v>
      </c>
      <c r="J610" s="5">
        <v>20</v>
      </c>
      <c r="K610" s="3" t="str" cm="1">
        <f t="array" ref="K610">_xlfn.IFS(J610&lt;=5, "0-5", J610&lt;=10, "6-10", J610&lt;=15, "11-15", J610&lt;=20, "16-20", J610&gt;20, "21+")</f>
        <v>16-20</v>
      </c>
      <c r="L610" t="s">
        <v>112</v>
      </c>
      <c r="M610" s="4" t="str">
        <f t="shared" ref="M610" si="314">_xlfn.TEXTAFTER(L610, " ")</f>
        <v>50</v>
      </c>
      <c r="N610" s="4">
        <f t="shared" si="296"/>
        <v>50</v>
      </c>
      <c r="O610" s="5">
        <v>3.8</v>
      </c>
      <c r="P610" t="s">
        <v>64</v>
      </c>
      <c r="Q610" t="s">
        <v>54</v>
      </c>
      <c r="R610" s="1">
        <v>0.93</v>
      </c>
      <c r="S610" s="6">
        <f t="shared" ref="S610:S612" si="315">R610</f>
        <v>0.93</v>
      </c>
    </row>
    <row r="611" spans="1:19" ht="13.5" x14ac:dyDescent="0.25">
      <c r="A611" t="s">
        <v>1400</v>
      </c>
      <c r="B611" t="s">
        <v>1401</v>
      </c>
      <c r="C611" t="str">
        <f t="shared" si="310"/>
        <v>Brianna Orr</v>
      </c>
      <c r="D611" t="s">
        <v>301</v>
      </c>
      <c r="E611" s="3" t="str">
        <f t="shared" si="295"/>
        <v>Female</v>
      </c>
      <c r="F611" s="5">
        <v>52</v>
      </c>
      <c r="G611" t="s">
        <v>125</v>
      </c>
      <c r="H611" t="s">
        <v>39</v>
      </c>
      <c r="I611" t="s">
        <v>292</v>
      </c>
      <c r="J611" s="5">
        <v>29</v>
      </c>
      <c r="K611" s="3" t="str" cm="1">
        <f t="array" ref="K611">_xlfn.IFS(J611&lt;=5, "0-5", J611&lt;=10, "6-10", J611&lt;=15, "11-15", J611&lt;=20, "16-20", J611&gt;20, "21+")</f>
        <v>21+</v>
      </c>
      <c r="L611">
        <v>30</v>
      </c>
      <c r="M611" s="4">
        <f t="shared" ref="M611:M612" si="316">L611</f>
        <v>30</v>
      </c>
      <c r="N611" s="4">
        <f t="shared" si="296"/>
        <v>30</v>
      </c>
      <c r="O611" s="5">
        <v>3.8</v>
      </c>
      <c r="P611">
        <v>0</v>
      </c>
      <c r="Q611" t="s">
        <v>54</v>
      </c>
      <c r="R611" s="1">
        <v>0.68</v>
      </c>
      <c r="S611" s="6">
        <f t="shared" si="315"/>
        <v>0.68</v>
      </c>
    </row>
    <row r="612" spans="1:19" ht="13.5" x14ac:dyDescent="0.25">
      <c r="A612" t="s">
        <v>1402</v>
      </c>
      <c r="B612" t="s">
        <v>1403</v>
      </c>
      <c r="C612" t="str">
        <f t="shared" si="310"/>
        <v>Dustin Smith</v>
      </c>
      <c r="D612" t="s">
        <v>31</v>
      </c>
      <c r="E612" s="3" t="str">
        <f t="shared" si="295"/>
        <v>Male</v>
      </c>
      <c r="F612" s="5">
        <v>53</v>
      </c>
      <c r="G612" t="s">
        <v>62</v>
      </c>
      <c r="H612" t="s">
        <v>63</v>
      </c>
      <c r="I612" t="s">
        <v>290</v>
      </c>
      <c r="J612" s="5">
        <v>21</v>
      </c>
      <c r="K612" s="3" t="str" cm="1">
        <f t="array" ref="K612">_xlfn.IFS(J612&lt;=5, "0-5", J612&lt;=10, "6-10", J612&lt;=15, "11-15", J612&lt;=20, "16-20", J612&gt;20, "21+")</f>
        <v>21+</v>
      </c>
      <c r="L612">
        <v>40</v>
      </c>
      <c r="M612" s="4">
        <f t="shared" si="316"/>
        <v>40</v>
      </c>
      <c r="N612" s="4">
        <f t="shared" si="296"/>
        <v>40</v>
      </c>
      <c r="O612" s="5">
        <v>4.7</v>
      </c>
      <c r="P612">
        <v>1</v>
      </c>
      <c r="Q612" t="s">
        <v>28</v>
      </c>
      <c r="R612" s="1">
        <v>0.62</v>
      </c>
      <c r="S612" s="6">
        <f t="shared" si="315"/>
        <v>0.62</v>
      </c>
    </row>
    <row r="613" spans="1:19" ht="13.5" x14ac:dyDescent="0.25">
      <c r="A613" t="s">
        <v>1404</v>
      </c>
      <c r="B613" t="s">
        <v>1405</v>
      </c>
      <c r="C613" t="str">
        <f t="shared" si="310"/>
        <v>Sarah White</v>
      </c>
      <c r="D613" t="s">
        <v>21</v>
      </c>
      <c r="E613" s="3" t="str">
        <f t="shared" si="295"/>
        <v>Female</v>
      </c>
      <c r="F613" s="5">
        <v>54</v>
      </c>
      <c r="G613" t="s">
        <v>253</v>
      </c>
      <c r="H613" t="s">
        <v>254</v>
      </c>
      <c r="I613" t="s">
        <v>285</v>
      </c>
      <c r="J613" s="5">
        <v>28</v>
      </c>
      <c r="K613" s="3" t="str" cm="1">
        <f t="array" ref="K613">_xlfn.IFS(J613&lt;=5, "0-5", J613&lt;=10, "6-10", J613&lt;=15, "11-15", J613&lt;=20, "16-20", J613&gt;20, "21+")</f>
        <v>21+</v>
      </c>
      <c r="L613" t="s">
        <v>99</v>
      </c>
      <c r="M613" s="4" t="str">
        <f t="shared" ref="M613" si="317">_xlfn.TEXTAFTER(L613, " ")</f>
        <v>40</v>
      </c>
      <c r="N613" s="4">
        <f t="shared" si="296"/>
        <v>40</v>
      </c>
      <c r="O613" s="5">
        <v>1.1000000000000001</v>
      </c>
      <c r="P613" t="s">
        <v>81</v>
      </c>
      <c r="Q613" t="s">
        <v>54</v>
      </c>
      <c r="S613" s="7"/>
    </row>
    <row r="614" spans="1:19" ht="13.5" x14ac:dyDescent="0.25">
      <c r="A614" t="s">
        <v>1406</v>
      </c>
      <c r="B614" t="s">
        <v>1407</v>
      </c>
      <c r="C614" t="str">
        <f t="shared" si="310"/>
        <v>Michael Davis</v>
      </c>
      <c r="D614" t="s">
        <v>311</v>
      </c>
      <c r="E614" s="3" t="str">
        <f t="shared" si="295"/>
        <v>Male</v>
      </c>
      <c r="F614" s="5">
        <v>51</v>
      </c>
      <c r="G614" t="s">
        <v>88</v>
      </c>
      <c r="H614" t="s">
        <v>89</v>
      </c>
      <c r="I614" t="s">
        <v>287</v>
      </c>
      <c r="J614" s="5">
        <v>5</v>
      </c>
      <c r="K614" s="3" t="str" cm="1">
        <f t="array" ref="K614">_xlfn.IFS(J614&lt;=5, "0-5", J614&lt;=10, "6-10", J614&lt;=15, "11-15", J614&lt;=20, "16-20", J614&gt;20, "21+")</f>
        <v>0-5</v>
      </c>
      <c r="L614">
        <v>50</v>
      </c>
      <c r="M614" s="4">
        <f>L614</f>
        <v>50</v>
      </c>
      <c r="N614" s="4">
        <f t="shared" si="296"/>
        <v>50</v>
      </c>
      <c r="O614" s="5">
        <v>4.2</v>
      </c>
      <c r="P614">
        <v>1</v>
      </c>
      <c r="Q614" t="s">
        <v>28</v>
      </c>
      <c r="R614" s="1">
        <v>0.82</v>
      </c>
      <c r="S614" s="6">
        <f>R614</f>
        <v>0.82</v>
      </c>
    </row>
    <row r="615" spans="1:19" ht="13.5" x14ac:dyDescent="0.25">
      <c r="A615" t="s">
        <v>1408</v>
      </c>
      <c r="B615" t="s">
        <v>1409</v>
      </c>
      <c r="C615" t="str">
        <f t="shared" si="310"/>
        <v>Jennifer Phillips</v>
      </c>
      <c r="D615" t="s">
        <v>37</v>
      </c>
      <c r="E615" s="3" t="str">
        <f t="shared" si="295"/>
        <v>Female</v>
      </c>
      <c r="F615" s="5">
        <v>30</v>
      </c>
      <c r="G615" t="s">
        <v>62</v>
      </c>
      <c r="H615" t="s">
        <v>63</v>
      </c>
      <c r="I615" t="s">
        <v>290</v>
      </c>
      <c r="J615" s="5">
        <v>0</v>
      </c>
      <c r="K615" s="3" t="str" cm="1">
        <f t="array" ref="K615">_xlfn.IFS(J615&lt;=5, "0-5", J615&lt;=10, "6-10", J615&lt;=15, "11-15", J615&lt;=20, "16-20", J615&gt;20, "21+")</f>
        <v>0-5</v>
      </c>
      <c r="N615" s="4" t="str">
        <f t="shared" si="296"/>
        <v>NA</v>
      </c>
      <c r="O615" s="5">
        <v>0</v>
      </c>
      <c r="P615">
        <v>0</v>
      </c>
      <c r="Q615" t="s">
        <v>54</v>
      </c>
      <c r="S615" s="7"/>
    </row>
    <row r="616" spans="1:19" ht="13.5" x14ac:dyDescent="0.25">
      <c r="A616" t="s">
        <v>1410</v>
      </c>
      <c r="B616" t="s">
        <v>1411</v>
      </c>
      <c r="C616" t="str">
        <f t="shared" si="310"/>
        <v>Dana Sanders</v>
      </c>
      <c r="D616" t="s">
        <v>22</v>
      </c>
      <c r="E616" s="3" t="str">
        <f t="shared" si="295"/>
        <v>Female</v>
      </c>
      <c r="F616" s="5">
        <v>45</v>
      </c>
      <c r="G616" t="s">
        <v>52</v>
      </c>
      <c r="H616" t="s">
        <v>53</v>
      </c>
      <c r="I616" t="s">
        <v>284</v>
      </c>
      <c r="J616" s="5">
        <v>27</v>
      </c>
      <c r="K616" s="3" t="str" cm="1">
        <f t="array" ref="K616">_xlfn.IFS(J616&lt;=5, "0-5", J616&lt;=10, "6-10", J616&lt;=15, "11-15", J616&lt;=20, "16-20", J616&gt;20, "21+")</f>
        <v>21+</v>
      </c>
      <c r="L616" t="s">
        <v>92</v>
      </c>
      <c r="M616" s="4" t="str">
        <f t="shared" ref="M616:M617" si="318">_xlfn.TEXTAFTER(L616, " ")</f>
        <v>75</v>
      </c>
      <c r="N616" s="4">
        <f t="shared" si="296"/>
        <v>75</v>
      </c>
      <c r="O616" s="5">
        <v>0</v>
      </c>
      <c r="R616" s="1">
        <v>0.85</v>
      </c>
      <c r="S616" s="6">
        <f t="shared" ref="S616:S622" si="319">R616</f>
        <v>0.85</v>
      </c>
    </row>
    <row r="617" spans="1:19" ht="13.5" x14ac:dyDescent="0.25">
      <c r="A617" t="s">
        <v>1412</v>
      </c>
      <c r="B617" t="s">
        <v>1413</v>
      </c>
      <c r="C617" t="str">
        <f t="shared" si="310"/>
        <v>Daniel Quinn</v>
      </c>
      <c r="D617" t="s">
        <v>31</v>
      </c>
      <c r="E617" s="3" t="str">
        <f t="shared" si="295"/>
        <v>Male</v>
      </c>
      <c r="F617" s="5">
        <v>57</v>
      </c>
      <c r="G617" t="s">
        <v>104</v>
      </c>
      <c r="H617" t="s">
        <v>105</v>
      </c>
      <c r="I617" t="s">
        <v>287</v>
      </c>
      <c r="J617" s="5">
        <v>26</v>
      </c>
      <c r="K617" s="3" t="str" cm="1">
        <f t="array" ref="K617">_xlfn.IFS(J617&lt;=5, "0-5", J617&lt;=10, "6-10", J617&lt;=15, "11-15", J617&lt;=20, "16-20", J617&gt;20, "21+")</f>
        <v>21+</v>
      </c>
      <c r="L617" t="s">
        <v>40</v>
      </c>
      <c r="M617" s="4" t="str">
        <f t="shared" si="318"/>
        <v>100</v>
      </c>
      <c r="N617" s="4">
        <f t="shared" si="296"/>
        <v>100</v>
      </c>
      <c r="O617" s="5">
        <v>2.4</v>
      </c>
      <c r="P617">
        <v>1</v>
      </c>
      <c r="Q617" t="s">
        <v>28</v>
      </c>
      <c r="R617" s="1">
        <v>0.78</v>
      </c>
      <c r="S617" s="6">
        <f t="shared" si="319"/>
        <v>0.78</v>
      </c>
    </row>
    <row r="618" spans="1:19" ht="13.5" x14ac:dyDescent="0.25">
      <c r="A618" t="s">
        <v>1414</v>
      </c>
      <c r="B618" t="s">
        <v>1415</v>
      </c>
      <c r="C618" t="str">
        <f t="shared" si="310"/>
        <v>Matthew Steele</v>
      </c>
      <c r="D618" t="s">
        <v>32</v>
      </c>
      <c r="E618" s="3" t="str">
        <f t="shared" si="295"/>
        <v>Male</v>
      </c>
      <c r="F618" s="5">
        <v>38</v>
      </c>
      <c r="G618" t="s">
        <v>67</v>
      </c>
      <c r="H618" t="s">
        <v>68</v>
      </c>
      <c r="I618" t="s">
        <v>292</v>
      </c>
      <c r="J618" s="5">
        <v>19</v>
      </c>
      <c r="K618" s="3" t="str" cm="1">
        <f t="array" ref="K618">_xlfn.IFS(J618&lt;=5, "0-5", J618&lt;=10, "6-10", J618&lt;=15, "11-15", J618&lt;=20, "16-20", J618&gt;20, "21+")</f>
        <v>16-20</v>
      </c>
      <c r="L618">
        <v>40</v>
      </c>
      <c r="M618" s="4">
        <f>L618</f>
        <v>40</v>
      </c>
      <c r="N618" s="4">
        <f t="shared" si="296"/>
        <v>40</v>
      </c>
      <c r="O618" s="5">
        <v>0</v>
      </c>
      <c r="P618">
        <v>1</v>
      </c>
      <c r="Q618" t="s">
        <v>28</v>
      </c>
      <c r="R618" s="1">
        <v>0.86</v>
      </c>
      <c r="S618" s="6">
        <f t="shared" si="319"/>
        <v>0.86</v>
      </c>
    </row>
    <row r="619" spans="1:19" ht="13.5" x14ac:dyDescent="0.25">
      <c r="A619" t="s">
        <v>1416</v>
      </c>
      <c r="B619" t="s">
        <v>1417</v>
      </c>
      <c r="C619" t="str">
        <f t="shared" si="310"/>
        <v>Michele Taylor</v>
      </c>
      <c r="D619" t="s">
        <v>21</v>
      </c>
      <c r="E619" s="3" t="str">
        <f t="shared" si="295"/>
        <v>Female</v>
      </c>
      <c r="F619" s="5">
        <v>42</v>
      </c>
      <c r="G619" t="s">
        <v>95</v>
      </c>
      <c r="H619" t="s">
        <v>96</v>
      </c>
      <c r="I619" t="s">
        <v>283</v>
      </c>
      <c r="J619" s="5">
        <v>24</v>
      </c>
      <c r="K619" s="3" t="str" cm="1">
        <f t="array" ref="K619">_xlfn.IFS(J619&lt;=5, "0-5", J619&lt;=10, "6-10", J619&lt;=15, "11-15", J619&lt;=20, "16-20", J619&gt;20, "21+")</f>
        <v>21+</v>
      </c>
      <c r="L619" t="s">
        <v>99</v>
      </c>
      <c r="M619" s="4" t="str">
        <f t="shared" ref="M619" si="320">_xlfn.TEXTAFTER(L619, " ")</f>
        <v>40</v>
      </c>
      <c r="N619" s="4">
        <f t="shared" si="296"/>
        <v>40</v>
      </c>
      <c r="P619" t="b">
        <v>0</v>
      </c>
      <c r="Q619" t="s">
        <v>54</v>
      </c>
      <c r="R619" s="1">
        <v>0.88</v>
      </c>
      <c r="S619" s="6">
        <f t="shared" si="319"/>
        <v>0.88</v>
      </c>
    </row>
    <row r="620" spans="1:19" ht="13.5" x14ac:dyDescent="0.25">
      <c r="A620" t="s">
        <v>1418</v>
      </c>
      <c r="B620" t="s">
        <v>1419</v>
      </c>
      <c r="C620" t="str">
        <f t="shared" si="310"/>
        <v>Ashley Hammond</v>
      </c>
      <c r="D620" t="s">
        <v>22</v>
      </c>
      <c r="E620" s="3" t="str">
        <f t="shared" si="295"/>
        <v>Female</v>
      </c>
      <c r="F620" s="5">
        <v>30</v>
      </c>
      <c r="G620" t="s">
        <v>177</v>
      </c>
      <c r="H620" t="s">
        <v>178</v>
      </c>
      <c r="I620" t="s">
        <v>283</v>
      </c>
      <c r="J620" s="5">
        <v>7</v>
      </c>
      <c r="K620" s="3" t="str" cm="1">
        <f t="array" ref="K620">_xlfn.IFS(J620&lt;=5, "0-5", J620&lt;=10, "6-10", J620&lt;=15, "11-15", J620&lt;=20, "16-20", J620&gt;20, "21+")</f>
        <v>6-10</v>
      </c>
      <c r="L620">
        <v>30</v>
      </c>
      <c r="M620" s="4">
        <f>L620</f>
        <v>30</v>
      </c>
      <c r="N620" s="4">
        <f t="shared" si="296"/>
        <v>30</v>
      </c>
      <c r="O620" s="5">
        <v>3.3</v>
      </c>
      <c r="R620" s="1">
        <v>0.68</v>
      </c>
      <c r="S620" s="6">
        <f t="shared" si="319"/>
        <v>0.68</v>
      </c>
    </row>
    <row r="621" spans="1:19" ht="13.5" x14ac:dyDescent="0.25">
      <c r="A621" t="s">
        <v>1420</v>
      </c>
      <c r="B621" t="s">
        <v>1421</v>
      </c>
      <c r="C621" t="str">
        <f t="shared" si="310"/>
        <v>Nicole Taylor</v>
      </c>
      <c r="D621" t="s">
        <v>304</v>
      </c>
      <c r="E621" s="3" t="str">
        <f t="shared" si="295"/>
        <v>Female</v>
      </c>
      <c r="F621" s="5">
        <v>43</v>
      </c>
      <c r="G621" t="s">
        <v>38</v>
      </c>
      <c r="H621" t="s">
        <v>39</v>
      </c>
      <c r="I621" t="s">
        <v>290</v>
      </c>
      <c r="J621" s="5">
        <v>13</v>
      </c>
      <c r="K621" s="3" t="str" cm="1">
        <f t="array" ref="K621">_xlfn.IFS(J621&lt;=5, "0-5", J621&lt;=10, "6-10", J621&lt;=15, "11-15", J621&lt;=20, "16-20", J621&gt;20, "21+")</f>
        <v>11-15</v>
      </c>
      <c r="L621" s="2">
        <v>100</v>
      </c>
      <c r="M621" s="4" t="str">
        <f t="shared" ref="M621:M622" si="321">SUBSTITUTE(L621, "$","")</f>
        <v>100</v>
      </c>
      <c r="N621" s="4">
        <f t="shared" si="296"/>
        <v>100</v>
      </c>
      <c r="O621" s="5">
        <v>1.4</v>
      </c>
      <c r="P621">
        <v>1</v>
      </c>
      <c r="Q621" t="s">
        <v>28</v>
      </c>
      <c r="R621" s="1">
        <v>0.97</v>
      </c>
      <c r="S621" s="6">
        <f t="shared" si="319"/>
        <v>0.97</v>
      </c>
    </row>
    <row r="622" spans="1:19" ht="13.5" x14ac:dyDescent="0.25">
      <c r="A622" t="s">
        <v>1422</v>
      </c>
      <c r="B622" t="s">
        <v>1423</v>
      </c>
      <c r="C622" t="str">
        <f t="shared" si="310"/>
        <v>Casey Bush</v>
      </c>
      <c r="D622" t="s">
        <v>32</v>
      </c>
      <c r="E622" s="3" t="str">
        <f t="shared" si="295"/>
        <v>Male</v>
      </c>
      <c r="F622" s="5">
        <v>22</v>
      </c>
      <c r="G622" t="s">
        <v>117</v>
      </c>
      <c r="H622" t="s">
        <v>118</v>
      </c>
      <c r="I622" t="s">
        <v>286</v>
      </c>
      <c r="J622" s="5">
        <v>2</v>
      </c>
      <c r="K622" s="3" t="str" cm="1">
        <f t="array" ref="K622">_xlfn.IFS(J622&lt;=5, "0-5", J622&lt;=10, "6-10", J622&lt;=15, "11-15", J622&lt;=20, "16-20", J622&gt;20, "21+")</f>
        <v>0-5</v>
      </c>
      <c r="L622" s="2">
        <v>75</v>
      </c>
      <c r="M622" s="4" t="str">
        <f t="shared" si="321"/>
        <v>75</v>
      </c>
      <c r="N622" s="4">
        <f t="shared" si="296"/>
        <v>75</v>
      </c>
      <c r="O622" s="5">
        <v>1.7</v>
      </c>
      <c r="P622" t="s">
        <v>81</v>
      </c>
      <c r="Q622" t="s">
        <v>54</v>
      </c>
      <c r="R622" s="1">
        <v>0.91</v>
      </c>
      <c r="S622" s="6">
        <f t="shared" si="319"/>
        <v>0.91</v>
      </c>
    </row>
    <row r="623" spans="1:19" ht="13.5" x14ac:dyDescent="0.25">
      <c r="A623" t="s">
        <v>1424</v>
      </c>
      <c r="B623" t="s">
        <v>1425</v>
      </c>
      <c r="C623" t="str">
        <f t="shared" si="310"/>
        <v>Samuel Patterson</v>
      </c>
      <c r="D623" t="s">
        <v>328</v>
      </c>
      <c r="E623" s="3" t="str">
        <f t="shared" si="295"/>
        <v>Male</v>
      </c>
      <c r="F623" s="5">
        <v>57</v>
      </c>
      <c r="G623" t="s">
        <v>44</v>
      </c>
      <c r="H623" t="s">
        <v>24</v>
      </c>
      <c r="I623" t="s">
        <v>284</v>
      </c>
      <c r="J623" s="5">
        <v>37</v>
      </c>
      <c r="K623" s="3" t="str" cm="1">
        <f t="array" ref="K623">_xlfn.IFS(J623&lt;=5, "0-5", J623&lt;=10, "6-10", J623&lt;=15, "11-15", J623&lt;=20, "16-20", J623&gt;20, "21+")</f>
        <v>21+</v>
      </c>
      <c r="L623">
        <v>30</v>
      </c>
      <c r="M623" s="4">
        <f>L623</f>
        <v>30</v>
      </c>
      <c r="N623" s="4">
        <f t="shared" si="296"/>
        <v>30</v>
      </c>
      <c r="O623" s="5">
        <v>4.8</v>
      </c>
      <c r="P623" t="b">
        <v>0</v>
      </c>
      <c r="Q623" t="s">
        <v>54</v>
      </c>
      <c r="S623" s="7"/>
    </row>
    <row r="624" spans="1:19" ht="13.5" x14ac:dyDescent="0.25">
      <c r="A624" t="s">
        <v>1426</v>
      </c>
      <c r="B624" t="s">
        <v>1427</v>
      </c>
      <c r="C624" t="str">
        <f t="shared" si="310"/>
        <v>Craig Dennis</v>
      </c>
      <c r="D624" t="s">
        <v>311</v>
      </c>
      <c r="E624" s="3" t="str">
        <f t="shared" si="295"/>
        <v>Male</v>
      </c>
      <c r="F624" s="5">
        <v>44</v>
      </c>
      <c r="G624" t="s">
        <v>152</v>
      </c>
      <c r="H624" t="s">
        <v>39</v>
      </c>
      <c r="I624" t="s">
        <v>287</v>
      </c>
      <c r="J624" s="5">
        <v>1</v>
      </c>
      <c r="K624" s="3" t="str" cm="1">
        <f t="array" ref="K624">_xlfn.IFS(J624&lt;=5, "0-5", J624&lt;=10, "6-10", J624&lt;=15, "11-15", J624&lt;=20, "16-20", J624&gt;20, "21+")</f>
        <v>0-5</v>
      </c>
      <c r="N624" s="4" t="str">
        <f t="shared" si="296"/>
        <v>NA</v>
      </c>
      <c r="O624" s="5">
        <v>4.8</v>
      </c>
      <c r="P624" t="s">
        <v>64</v>
      </c>
      <c r="Q624" t="s">
        <v>54</v>
      </c>
      <c r="R624" s="1">
        <v>0.97</v>
      </c>
      <c r="S624" s="6">
        <f t="shared" ref="S624:S626" si="322">R624</f>
        <v>0.97</v>
      </c>
    </row>
    <row r="625" spans="1:19" ht="13.5" x14ac:dyDescent="0.25">
      <c r="A625" t="s">
        <v>1428</v>
      </c>
      <c r="B625" t="s">
        <v>1429</v>
      </c>
      <c r="C625" t="str">
        <f t="shared" si="310"/>
        <v>Heidi Dixon</v>
      </c>
      <c r="D625" t="s">
        <v>304</v>
      </c>
      <c r="E625" s="3" t="str">
        <f t="shared" si="295"/>
        <v>Female</v>
      </c>
      <c r="F625" s="5">
        <v>46</v>
      </c>
      <c r="G625" t="s">
        <v>165</v>
      </c>
      <c r="H625" t="s">
        <v>166</v>
      </c>
      <c r="I625" t="s">
        <v>283</v>
      </c>
      <c r="J625" s="5">
        <v>5</v>
      </c>
      <c r="K625" s="3" t="str" cm="1">
        <f t="array" ref="K625">_xlfn.IFS(J625&lt;=5, "0-5", J625&lt;=10, "6-10", J625&lt;=15, "11-15", J625&lt;=20, "16-20", J625&gt;20, "21+")</f>
        <v>0-5</v>
      </c>
      <c r="L625" t="s">
        <v>72</v>
      </c>
      <c r="M625" s="4" t="str">
        <f t="shared" ref="M625:M626" si="323">_xlfn.TEXTAFTER(L625, " ")</f>
        <v>30</v>
      </c>
      <c r="N625" s="4">
        <f t="shared" si="296"/>
        <v>30</v>
      </c>
      <c r="O625" s="5">
        <v>2</v>
      </c>
      <c r="P625" t="s">
        <v>27</v>
      </c>
      <c r="Q625" t="s">
        <v>28</v>
      </c>
      <c r="R625" s="1">
        <v>0.64</v>
      </c>
      <c r="S625" s="6">
        <f t="shared" si="322"/>
        <v>0.64</v>
      </c>
    </row>
    <row r="626" spans="1:19" ht="13.5" x14ac:dyDescent="0.25">
      <c r="A626" t="s">
        <v>1430</v>
      </c>
      <c r="B626" t="s">
        <v>1431</v>
      </c>
      <c r="C626" t="str">
        <f t="shared" si="310"/>
        <v>David Bishop</v>
      </c>
      <c r="D626" t="s">
        <v>32</v>
      </c>
      <c r="E626" s="3" t="str">
        <f t="shared" si="295"/>
        <v>Male</v>
      </c>
      <c r="G626" t="s">
        <v>84</v>
      </c>
      <c r="H626" t="s">
        <v>24</v>
      </c>
      <c r="I626" t="s">
        <v>292</v>
      </c>
      <c r="J626" s="5">
        <v>1</v>
      </c>
      <c r="K626" s="3" t="str" cm="1">
        <f t="array" ref="K626">_xlfn.IFS(J626&lt;=5, "0-5", J626&lt;=10, "6-10", J626&lt;=15, "11-15", J626&lt;=20, "16-20", J626&gt;20, "21+")</f>
        <v>0-5</v>
      </c>
      <c r="L626" t="s">
        <v>112</v>
      </c>
      <c r="M626" s="4" t="str">
        <f t="shared" si="323"/>
        <v>50</v>
      </c>
      <c r="N626" s="4">
        <f t="shared" si="296"/>
        <v>50</v>
      </c>
      <c r="O626" s="5">
        <v>2.8</v>
      </c>
      <c r="P626" t="s">
        <v>81</v>
      </c>
      <c r="Q626" t="s">
        <v>54</v>
      </c>
      <c r="R626" s="1">
        <v>0.87</v>
      </c>
      <c r="S626" s="6">
        <f t="shared" si="322"/>
        <v>0.87</v>
      </c>
    </row>
    <row r="627" spans="1:19" ht="13.5" x14ac:dyDescent="0.25">
      <c r="A627" t="s">
        <v>1432</v>
      </c>
      <c r="B627" t="s">
        <v>1433</v>
      </c>
      <c r="C627" t="str">
        <f t="shared" si="310"/>
        <v>Laura Butler</v>
      </c>
      <c r="D627" t="s">
        <v>22</v>
      </c>
      <c r="E627" s="3" t="str">
        <f t="shared" si="295"/>
        <v>Female</v>
      </c>
      <c r="F627" s="5">
        <v>34</v>
      </c>
      <c r="G627" t="s">
        <v>38</v>
      </c>
      <c r="H627" t="s">
        <v>39</v>
      </c>
      <c r="I627" t="s">
        <v>291</v>
      </c>
      <c r="J627" s="5">
        <v>2</v>
      </c>
      <c r="K627" s="3" t="str" cm="1">
        <f t="array" ref="K627">_xlfn.IFS(J627&lt;=5, "0-5", J627&lt;=10, "6-10", J627&lt;=15, "11-15", J627&lt;=20, "16-20", J627&gt;20, "21+")</f>
        <v>0-5</v>
      </c>
      <c r="L627">
        <v>100</v>
      </c>
      <c r="M627" s="4">
        <f>L627</f>
        <v>100</v>
      </c>
      <c r="N627" s="4">
        <f t="shared" si="296"/>
        <v>100</v>
      </c>
      <c r="O627" s="5">
        <v>0</v>
      </c>
      <c r="P627">
        <v>0</v>
      </c>
      <c r="Q627" t="s">
        <v>54</v>
      </c>
      <c r="R627">
        <v>86</v>
      </c>
      <c r="S627" s="6">
        <f t="shared" ref="S627:S628" si="324">R627/100</f>
        <v>0.86</v>
      </c>
    </row>
    <row r="628" spans="1:19" ht="13.5" x14ac:dyDescent="0.25">
      <c r="A628" t="s">
        <v>1434</v>
      </c>
      <c r="B628" t="s">
        <v>1435</v>
      </c>
      <c r="C628" t="str">
        <f t="shared" si="310"/>
        <v>Denise Erickson</v>
      </c>
      <c r="D628" t="s">
        <v>301</v>
      </c>
      <c r="E628" s="3" t="str">
        <f t="shared" si="295"/>
        <v>Female</v>
      </c>
      <c r="F628" s="5">
        <v>46</v>
      </c>
      <c r="G628" t="s">
        <v>253</v>
      </c>
      <c r="H628" t="s">
        <v>254</v>
      </c>
      <c r="I628" t="s">
        <v>285</v>
      </c>
      <c r="K628" s="3" t="str" cm="1">
        <f t="array" ref="K628">_xlfn.IFS(J628&lt;=5, "0-5", J628&lt;=10, "6-10", J628&lt;=15, "11-15", J628&lt;=20, "16-20", J628&gt;20, "21+")</f>
        <v>0-5</v>
      </c>
      <c r="L628" s="2">
        <v>100</v>
      </c>
      <c r="M628" s="4" t="str">
        <f>SUBSTITUTE(L628, "$","")</f>
        <v>100</v>
      </c>
      <c r="N628" s="4">
        <f t="shared" si="296"/>
        <v>100</v>
      </c>
      <c r="O628" s="5">
        <v>4.4000000000000004</v>
      </c>
      <c r="P628">
        <v>1</v>
      </c>
      <c r="Q628" t="s">
        <v>28</v>
      </c>
      <c r="R628">
        <v>97</v>
      </c>
      <c r="S628" s="6">
        <f t="shared" si="324"/>
        <v>0.97</v>
      </c>
    </row>
    <row r="629" spans="1:19" ht="13.5" x14ac:dyDescent="0.25">
      <c r="A629" t="s">
        <v>1436</v>
      </c>
      <c r="B629" t="s">
        <v>1437</v>
      </c>
      <c r="C629" t="str">
        <f t="shared" si="310"/>
        <v>Nicole Austin</v>
      </c>
      <c r="D629" t="s">
        <v>37</v>
      </c>
      <c r="E629" s="3" t="str">
        <f t="shared" si="295"/>
        <v>Female</v>
      </c>
      <c r="F629" s="5">
        <v>22</v>
      </c>
      <c r="G629" t="s">
        <v>132</v>
      </c>
      <c r="H629" t="s">
        <v>133</v>
      </c>
      <c r="I629" t="s">
        <v>292</v>
      </c>
      <c r="J629" s="5">
        <v>0</v>
      </c>
      <c r="K629" s="3" t="str" cm="1">
        <f t="array" ref="K629">_xlfn.IFS(J629&lt;=5, "0-5", J629&lt;=10, "6-10", J629&lt;=15, "11-15", J629&lt;=20, "16-20", J629&gt;20, "21+")</f>
        <v>0-5</v>
      </c>
      <c r="L629" t="s">
        <v>72</v>
      </c>
      <c r="M629" s="4" t="str">
        <f t="shared" ref="M629:M630" si="325">_xlfn.TEXTAFTER(L629, " ")</f>
        <v>30</v>
      </c>
      <c r="N629" s="4">
        <f t="shared" si="296"/>
        <v>30</v>
      </c>
      <c r="O629" s="5">
        <v>4.9000000000000004</v>
      </c>
      <c r="P629" t="b">
        <v>0</v>
      </c>
      <c r="Q629" t="s">
        <v>54</v>
      </c>
      <c r="R629" s="1">
        <v>0.73</v>
      </c>
      <c r="S629" s="6">
        <f t="shared" ref="S629:S630" si="326">R629</f>
        <v>0.73</v>
      </c>
    </row>
    <row r="630" spans="1:19" ht="13.5" x14ac:dyDescent="0.25">
      <c r="A630" t="s">
        <v>175</v>
      </c>
      <c r="B630" t="s">
        <v>176</v>
      </c>
      <c r="C630" t="str">
        <f t="shared" si="310"/>
        <v>Summer Williams</v>
      </c>
      <c r="D630" t="s">
        <v>304</v>
      </c>
      <c r="E630" s="3" t="str">
        <f t="shared" si="295"/>
        <v>Female</v>
      </c>
      <c r="F630" s="5">
        <v>23</v>
      </c>
      <c r="G630" t="s">
        <v>177</v>
      </c>
      <c r="H630" t="s">
        <v>178</v>
      </c>
      <c r="I630" t="s">
        <v>25</v>
      </c>
      <c r="J630" s="5">
        <v>0</v>
      </c>
      <c r="K630" s="3" t="str" cm="1">
        <f t="array" ref="K630">_xlfn.IFS(J630&lt;=5, "0-5", J630&lt;=10, "6-10", J630&lt;=15, "11-15", J630&lt;=20, "16-20", J630&gt;20, "21+")</f>
        <v>0-5</v>
      </c>
      <c r="L630" t="s">
        <v>92</v>
      </c>
      <c r="M630" s="4" t="str">
        <f t="shared" si="325"/>
        <v>75</v>
      </c>
      <c r="N630" s="4">
        <f t="shared" si="296"/>
        <v>75</v>
      </c>
      <c r="O630" s="5">
        <v>2.2999999999999998</v>
      </c>
      <c r="R630" s="1">
        <v>0.6</v>
      </c>
      <c r="S630" s="6">
        <f t="shared" si="326"/>
        <v>0.6</v>
      </c>
    </row>
    <row r="631" spans="1:19" ht="13.5" x14ac:dyDescent="0.25">
      <c r="A631" t="s">
        <v>1438</v>
      </c>
      <c r="B631" t="s">
        <v>1439</v>
      </c>
      <c r="C631" t="str">
        <f t="shared" si="310"/>
        <v>Angela Blackwell</v>
      </c>
      <c r="D631" t="s">
        <v>301</v>
      </c>
      <c r="E631" s="3" t="str">
        <f t="shared" si="295"/>
        <v>Female</v>
      </c>
      <c r="F631" s="5">
        <v>60</v>
      </c>
      <c r="G631" t="s">
        <v>67</v>
      </c>
      <c r="H631" t="s">
        <v>68</v>
      </c>
      <c r="I631" t="s">
        <v>290</v>
      </c>
      <c r="J631" s="5">
        <v>41</v>
      </c>
      <c r="K631" s="3" t="str" cm="1">
        <f t="array" ref="K631">_xlfn.IFS(J631&lt;=5, "0-5", J631&lt;=10, "6-10", J631&lt;=15, "11-15", J631&lt;=20, "16-20", J631&gt;20, "21+")</f>
        <v>21+</v>
      </c>
      <c r="L631" s="2">
        <v>40</v>
      </c>
      <c r="M631" s="4" t="str">
        <f t="shared" ref="M631:M633" si="327">SUBSTITUTE(L631, "$","")</f>
        <v>40</v>
      </c>
      <c r="N631" s="4">
        <f t="shared" si="296"/>
        <v>40</v>
      </c>
      <c r="O631" s="5">
        <v>4.9000000000000004</v>
      </c>
      <c r="P631">
        <v>1</v>
      </c>
      <c r="Q631" t="s">
        <v>28</v>
      </c>
      <c r="R631">
        <v>66</v>
      </c>
      <c r="S631" s="6">
        <f>R631/100</f>
        <v>0.66</v>
      </c>
    </row>
    <row r="632" spans="1:19" ht="13.5" x14ac:dyDescent="0.25">
      <c r="A632" t="s">
        <v>1440</v>
      </c>
      <c r="B632" t="s">
        <v>1441</v>
      </c>
      <c r="C632" t="str">
        <f t="shared" si="310"/>
        <v>Thomas Wall</v>
      </c>
      <c r="D632" t="s">
        <v>43</v>
      </c>
      <c r="E632" s="3" t="str">
        <f t="shared" si="295"/>
        <v>Male</v>
      </c>
      <c r="F632" s="5">
        <v>20</v>
      </c>
      <c r="G632" t="s">
        <v>125</v>
      </c>
      <c r="H632" t="s">
        <v>39</v>
      </c>
      <c r="I632" t="s">
        <v>283</v>
      </c>
      <c r="K632" s="3" t="str" cm="1">
        <f t="array" ref="K632">_xlfn.IFS(J632&lt;=5, "0-5", J632&lt;=10, "6-10", J632&lt;=15, "11-15", J632&lt;=20, "16-20", J632&gt;20, "21+")</f>
        <v>0-5</v>
      </c>
      <c r="L632" s="2">
        <v>75</v>
      </c>
      <c r="M632" s="4" t="str">
        <f t="shared" si="327"/>
        <v>75</v>
      </c>
      <c r="N632" s="4">
        <f t="shared" si="296"/>
        <v>75</v>
      </c>
      <c r="O632" s="5">
        <v>4.3</v>
      </c>
      <c r="P632">
        <v>0</v>
      </c>
      <c r="Q632" t="s">
        <v>54</v>
      </c>
      <c r="R632" s="1">
        <v>0.9</v>
      </c>
      <c r="S632" s="6">
        <f>R632</f>
        <v>0.9</v>
      </c>
    </row>
    <row r="633" spans="1:19" ht="13.5" x14ac:dyDescent="0.25">
      <c r="A633" t="s">
        <v>1442</v>
      </c>
      <c r="B633" t="s">
        <v>1443</v>
      </c>
      <c r="C633" t="str">
        <f t="shared" si="310"/>
        <v>Sarah Anderson</v>
      </c>
      <c r="D633" t="s">
        <v>37</v>
      </c>
      <c r="E633" s="3" t="str">
        <f t="shared" si="295"/>
        <v>Female</v>
      </c>
      <c r="F633" s="5">
        <v>41</v>
      </c>
      <c r="G633" t="s">
        <v>62</v>
      </c>
      <c r="H633" t="s">
        <v>63</v>
      </c>
      <c r="I633" t="s">
        <v>286</v>
      </c>
      <c r="J633" s="5">
        <v>23</v>
      </c>
      <c r="K633" s="3" t="str" cm="1">
        <f t="array" ref="K633">_xlfn.IFS(J633&lt;=5, "0-5", J633&lt;=10, "6-10", J633&lt;=15, "11-15", J633&lt;=20, "16-20", J633&gt;20, "21+")</f>
        <v>21+</v>
      </c>
      <c r="L633" s="2">
        <v>75</v>
      </c>
      <c r="M633" s="4" t="str">
        <f t="shared" si="327"/>
        <v>75</v>
      </c>
      <c r="N633" s="4">
        <f t="shared" si="296"/>
        <v>75</v>
      </c>
      <c r="O633" s="5">
        <v>1.4</v>
      </c>
      <c r="P633">
        <v>0</v>
      </c>
      <c r="Q633" t="s">
        <v>54</v>
      </c>
      <c r="S633" s="7"/>
    </row>
    <row r="634" spans="1:19" ht="13.5" x14ac:dyDescent="0.25">
      <c r="A634" t="s">
        <v>1444</v>
      </c>
      <c r="B634" t="s">
        <v>1445</v>
      </c>
      <c r="C634" t="str">
        <f t="shared" si="310"/>
        <v>Christian Lane</v>
      </c>
      <c r="D634" t="s">
        <v>43</v>
      </c>
      <c r="E634" s="3" t="str">
        <f t="shared" si="295"/>
        <v>Male</v>
      </c>
      <c r="F634" s="5">
        <v>24</v>
      </c>
      <c r="G634" t="s">
        <v>132</v>
      </c>
      <c r="H634" t="s">
        <v>133</v>
      </c>
      <c r="I634" t="s">
        <v>285</v>
      </c>
      <c r="J634" s="5">
        <v>0</v>
      </c>
      <c r="K634" s="3" t="str" cm="1">
        <f t="array" ref="K634">_xlfn.IFS(J634&lt;=5, "0-5", J634&lt;=10, "6-10", J634&lt;=15, "11-15", J634&lt;=20, "16-20", J634&gt;20, "21+")</f>
        <v>0-5</v>
      </c>
      <c r="L634">
        <v>100</v>
      </c>
      <c r="M634" s="4">
        <f>L634</f>
        <v>100</v>
      </c>
      <c r="N634" s="4">
        <f t="shared" si="296"/>
        <v>100</v>
      </c>
      <c r="P634" t="s">
        <v>81</v>
      </c>
      <c r="Q634" t="s">
        <v>54</v>
      </c>
      <c r="S634" s="7"/>
    </row>
    <row r="635" spans="1:19" ht="13.5" x14ac:dyDescent="0.25">
      <c r="A635" t="s">
        <v>1446</v>
      </c>
      <c r="B635" t="s">
        <v>1447</v>
      </c>
      <c r="C635" t="str">
        <f t="shared" si="310"/>
        <v>Todd Casey</v>
      </c>
      <c r="D635" t="s">
        <v>43</v>
      </c>
      <c r="E635" s="3" t="str">
        <f t="shared" si="295"/>
        <v>Male</v>
      </c>
      <c r="F635" s="5">
        <v>44</v>
      </c>
      <c r="G635" t="s">
        <v>52</v>
      </c>
      <c r="H635" t="s">
        <v>53</v>
      </c>
      <c r="I635" t="s">
        <v>284</v>
      </c>
      <c r="J635" s="5">
        <v>4</v>
      </c>
      <c r="K635" s="3" t="str" cm="1">
        <f t="array" ref="K635">_xlfn.IFS(J635&lt;=5, "0-5", J635&lt;=10, "6-10", J635&lt;=15, "11-15", J635&lt;=20, "16-20", J635&gt;20, "21+")</f>
        <v>0-5</v>
      </c>
      <c r="N635" s="4" t="str">
        <f t="shared" si="296"/>
        <v>NA</v>
      </c>
      <c r="O635" s="5">
        <v>1.3</v>
      </c>
      <c r="P635" t="s">
        <v>27</v>
      </c>
      <c r="Q635" t="s">
        <v>28</v>
      </c>
      <c r="R635">
        <v>77</v>
      </c>
      <c r="S635" s="6">
        <f>R635/100</f>
        <v>0.77</v>
      </c>
    </row>
    <row r="636" spans="1:19" ht="13.5" x14ac:dyDescent="0.25">
      <c r="A636" t="s">
        <v>1448</v>
      </c>
      <c r="B636" t="s">
        <v>1449</v>
      </c>
      <c r="C636" t="str">
        <f t="shared" si="310"/>
        <v>David Martinez</v>
      </c>
      <c r="D636" t="s">
        <v>311</v>
      </c>
      <c r="E636" s="3" t="str">
        <f t="shared" si="295"/>
        <v>Male</v>
      </c>
      <c r="F636" s="5">
        <v>52</v>
      </c>
      <c r="G636" t="s">
        <v>165</v>
      </c>
      <c r="H636" t="s">
        <v>166</v>
      </c>
      <c r="I636" t="s">
        <v>286</v>
      </c>
      <c r="J636" s="5">
        <v>4</v>
      </c>
      <c r="K636" s="3" t="str" cm="1">
        <f t="array" ref="K636">_xlfn.IFS(J636&lt;=5, "0-5", J636&lt;=10, "6-10", J636&lt;=15, "11-15", J636&lt;=20, "16-20", J636&gt;20, "21+")</f>
        <v>0-5</v>
      </c>
      <c r="L636">
        <v>75</v>
      </c>
      <c r="M636" s="4">
        <f t="shared" ref="M636:M637" si="328">L636</f>
        <v>75</v>
      </c>
      <c r="N636" s="4">
        <f t="shared" si="296"/>
        <v>75</v>
      </c>
      <c r="O636" s="5">
        <v>2.2999999999999998</v>
      </c>
      <c r="P636">
        <v>1</v>
      </c>
      <c r="Q636" t="s">
        <v>28</v>
      </c>
      <c r="R636" s="1">
        <v>0.79</v>
      </c>
      <c r="S636" s="6">
        <f t="shared" ref="S636:S644" si="329">R636</f>
        <v>0.79</v>
      </c>
    </row>
    <row r="637" spans="1:19" ht="13.5" x14ac:dyDescent="0.25">
      <c r="A637" t="s">
        <v>1450</v>
      </c>
      <c r="B637" t="s">
        <v>1451</v>
      </c>
      <c r="C637" t="str">
        <f t="shared" si="310"/>
        <v>Donald Salas</v>
      </c>
      <c r="D637" t="s">
        <v>328</v>
      </c>
      <c r="E637" s="3" t="str">
        <f t="shared" si="295"/>
        <v>Male</v>
      </c>
      <c r="F637" s="5">
        <v>35</v>
      </c>
      <c r="G637" t="s">
        <v>84</v>
      </c>
      <c r="H637" t="s">
        <v>24</v>
      </c>
      <c r="I637" t="s">
        <v>284</v>
      </c>
      <c r="J637" s="5">
        <v>13</v>
      </c>
      <c r="K637" s="3" t="str" cm="1">
        <f t="array" ref="K637">_xlfn.IFS(J637&lt;=5, "0-5", J637&lt;=10, "6-10", J637&lt;=15, "11-15", J637&lt;=20, "16-20", J637&gt;20, "21+")</f>
        <v>11-15</v>
      </c>
      <c r="L637">
        <v>40</v>
      </c>
      <c r="M637" s="4">
        <f t="shared" si="328"/>
        <v>40</v>
      </c>
      <c r="N637" s="4">
        <f t="shared" si="296"/>
        <v>40</v>
      </c>
      <c r="O637" s="5">
        <v>3.6</v>
      </c>
      <c r="P637">
        <v>0</v>
      </c>
      <c r="Q637" t="s">
        <v>54</v>
      </c>
      <c r="R637" s="1">
        <v>0.83</v>
      </c>
      <c r="S637" s="6">
        <f t="shared" si="329"/>
        <v>0.83</v>
      </c>
    </row>
    <row r="638" spans="1:19" ht="13.5" x14ac:dyDescent="0.25">
      <c r="A638" t="s">
        <v>1452</v>
      </c>
      <c r="B638" t="s">
        <v>1453</v>
      </c>
      <c r="C638" t="str">
        <f t="shared" si="310"/>
        <v>Emma Hicks</v>
      </c>
      <c r="D638" t="s">
        <v>22</v>
      </c>
      <c r="E638" s="3" t="str">
        <f t="shared" si="295"/>
        <v>Female</v>
      </c>
      <c r="F638" s="5">
        <v>24</v>
      </c>
      <c r="G638" t="s">
        <v>52</v>
      </c>
      <c r="H638" t="s">
        <v>53</v>
      </c>
      <c r="I638" t="s">
        <v>283</v>
      </c>
      <c r="J638" s="5">
        <v>2</v>
      </c>
      <c r="K638" s="3" t="str" cm="1">
        <f t="array" ref="K638">_xlfn.IFS(J638&lt;=5, "0-5", J638&lt;=10, "6-10", J638&lt;=15, "11-15", J638&lt;=20, "16-20", J638&gt;20, "21+")</f>
        <v>0-5</v>
      </c>
      <c r="L638" s="2">
        <v>50</v>
      </c>
      <c r="M638" s="4" t="str">
        <f t="shared" ref="M638:M639" si="330">SUBSTITUTE(L638, "$","")</f>
        <v>50</v>
      </c>
      <c r="N638" s="4">
        <f t="shared" si="296"/>
        <v>50</v>
      </c>
      <c r="P638" t="s">
        <v>64</v>
      </c>
      <c r="Q638" t="s">
        <v>54</v>
      </c>
      <c r="R638" s="1">
        <v>0.64</v>
      </c>
      <c r="S638" s="6">
        <f t="shared" si="329"/>
        <v>0.64</v>
      </c>
    </row>
    <row r="639" spans="1:19" ht="13.5" x14ac:dyDescent="0.25">
      <c r="A639" t="s">
        <v>1454</v>
      </c>
      <c r="B639" t="s">
        <v>1455</v>
      </c>
      <c r="C639" t="str">
        <f t="shared" si="310"/>
        <v>Alison Clark</v>
      </c>
      <c r="D639" t="s">
        <v>21</v>
      </c>
      <c r="E639" s="3" t="str">
        <f t="shared" si="295"/>
        <v>Female</v>
      </c>
      <c r="F639" s="5">
        <v>46</v>
      </c>
      <c r="G639" t="s">
        <v>38</v>
      </c>
      <c r="H639" t="s">
        <v>39</v>
      </c>
      <c r="I639" t="s">
        <v>288</v>
      </c>
      <c r="J639" s="5">
        <v>25</v>
      </c>
      <c r="K639" s="3" t="str" cm="1">
        <f t="array" ref="K639">_xlfn.IFS(J639&lt;=5, "0-5", J639&lt;=10, "6-10", J639&lt;=15, "11-15", J639&lt;=20, "16-20", J639&gt;20, "21+")</f>
        <v>21+</v>
      </c>
      <c r="L639" s="2">
        <v>100</v>
      </c>
      <c r="M639" s="4" t="str">
        <f t="shared" si="330"/>
        <v>100</v>
      </c>
      <c r="N639" s="4">
        <f t="shared" si="296"/>
        <v>100</v>
      </c>
      <c r="O639" s="5">
        <v>1.3</v>
      </c>
      <c r="P639" t="s">
        <v>81</v>
      </c>
      <c r="Q639" t="s">
        <v>54</v>
      </c>
      <c r="R639" s="1">
        <v>0.8</v>
      </c>
      <c r="S639" s="6">
        <f t="shared" si="329"/>
        <v>0.8</v>
      </c>
    </row>
    <row r="640" spans="1:19" ht="13.5" x14ac:dyDescent="0.25">
      <c r="A640" t="s">
        <v>1456</v>
      </c>
      <c r="B640" t="s">
        <v>1457</v>
      </c>
      <c r="C640" t="str">
        <f t="shared" si="310"/>
        <v>Andrew Barnes</v>
      </c>
      <c r="D640" t="s">
        <v>328</v>
      </c>
      <c r="E640" s="3" t="str">
        <f t="shared" si="295"/>
        <v>Male</v>
      </c>
      <c r="F640" s="5">
        <v>57</v>
      </c>
      <c r="G640" t="s">
        <v>44</v>
      </c>
      <c r="H640" t="s">
        <v>24</v>
      </c>
      <c r="I640" t="s">
        <v>285</v>
      </c>
      <c r="J640" s="5">
        <v>18</v>
      </c>
      <c r="K640" s="3" t="str" cm="1">
        <f t="array" ref="K640">_xlfn.IFS(J640&lt;=5, "0-5", J640&lt;=10, "6-10", J640&lt;=15, "11-15", J640&lt;=20, "16-20", J640&gt;20, "21+")</f>
        <v>16-20</v>
      </c>
      <c r="L640" t="s">
        <v>72</v>
      </c>
      <c r="M640" s="4" t="str">
        <f t="shared" ref="M640" si="331">_xlfn.TEXTAFTER(L640, " ")</f>
        <v>30</v>
      </c>
      <c r="N640" s="4">
        <f t="shared" si="296"/>
        <v>30</v>
      </c>
      <c r="O640" s="5">
        <v>1.1000000000000001</v>
      </c>
      <c r="P640" t="b">
        <v>0</v>
      </c>
      <c r="Q640" t="s">
        <v>54</v>
      </c>
      <c r="R640" s="1">
        <v>0.9</v>
      </c>
      <c r="S640" s="6">
        <f t="shared" si="329"/>
        <v>0.9</v>
      </c>
    </row>
    <row r="641" spans="1:19" ht="13.5" x14ac:dyDescent="0.25">
      <c r="A641" t="s">
        <v>1458</v>
      </c>
      <c r="B641" t="s">
        <v>1459</v>
      </c>
      <c r="C641" t="str">
        <f t="shared" si="310"/>
        <v>Gina Snyder</v>
      </c>
      <c r="D641" t="s">
        <v>301</v>
      </c>
      <c r="E641" s="3" t="str">
        <f t="shared" si="295"/>
        <v>Female</v>
      </c>
      <c r="F641" s="5">
        <v>49</v>
      </c>
      <c r="G641" t="s">
        <v>44</v>
      </c>
      <c r="H641" t="s">
        <v>24</v>
      </c>
      <c r="I641" t="s">
        <v>290</v>
      </c>
      <c r="J641" s="5">
        <v>24</v>
      </c>
      <c r="K641" s="3" t="str" cm="1">
        <f t="array" ref="K641">_xlfn.IFS(J641&lt;=5, "0-5", J641&lt;=10, "6-10", J641&lt;=15, "11-15", J641&lt;=20, "16-20", J641&gt;20, "21+")</f>
        <v>21+</v>
      </c>
      <c r="L641" s="2">
        <v>50</v>
      </c>
      <c r="M641" s="4" t="str">
        <f>SUBSTITUTE(L641, "$","")</f>
        <v>50</v>
      </c>
      <c r="N641" s="4">
        <f t="shared" si="296"/>
        <v>50</v>
      </c>
      <c r="O641" s="5">
        <v>0</v>
      </c>
      <c r="P641">
        <v>0</v>
      </c>
      <c r="Q641" t="s">
        <v>54</v>
      </c>
      <c r="R641" s="1">
        <v>0.94</v>
      </c>
      <c r="S641" s="6">
        <f t="shared" si="329"/>
        <v>0.94</v>
      </c>
    </row>
    <row r="642" spans="1:19" ht="13.5" x14ac:dyDescent="0.25">
      <c r="A642" t="s">
        <v>173</v>
      </c>
      <c r="B642" t="s">
        <v>174</v>
      </c>
      <c r="C642" t="str">
        <f t="shared" si="310"/>
        <v>David Watson</v>
      </c>
      <c r="D642" t="s">
        <v>311</v>
      </c>
      <c r="E642" s="3" t="str">
        <f t="shared" si="295"/>
        <v>Male</v>
      </c>
      <c r="F642" s="5">
        <v>41</v>
      </c>
      <c r="G642" t="s">
        <v>88</v>
      </c>
      <c r="H642" t="s">
        <v>89</v>
      </c>
      <c r="I642" t="s">
        <v>25</v>
      </c>
      <c r="J642" s="5">
        <v>7</v>
      </c>
      <c r="K642" s="3" t="str" cm="1">
        <f t="array" ref="K642">_xlfn.IFS(J642&lt;=5, "0-5", J642&lt;=10, "6-10", J642&lt;=15, "11-15", J642&lt;=20, "16-20", J642&gt;20, "21+")</f>
        <v>6-10</v>
      </c>
      <c r="L642">
        <v>40</v>
      </c>
      <c r="M642" s="4">
        <f>L642</f>
        <v>40</v>
      </c>
      <c r="N642" s="4">
        <f t="shared" si="296"/>
        <v>40</v>
      </c>
      <c r="O642" s="5">
        <v>1.8</v>
      </c>
      <c r="P642" t="b">
        <v>0</v>
      </c>
      <c r="Q642" t="s">
        <v>54</v>
      </c>
      <c r="R642" s="1">
        <v>0.7</v>
      </c>
      <c r="S642" s="6">
        <f t="shared" si="329"/>
        <v>0.7</v>
      </c>
    </row>
    <row r="643" spans="1:19" ht="13.5" x14ac:dyDescent="0.25">
      <c r="A643" t="s">
        <v>1460</v>
      </c>
      <c r="B643" t="s">
        <v>1461</v>
      </c>
      <c r="C643" t="str">
        <f t="shared" si="310"/>
        <v>John Davis</v>
      </c>
      <c r="D643" t="s">
        <v>31</v>
      </c>
      <c r="E643" s="3" t="str">
        <f t="shared" ref="E643:E706" si="332">IF(LOWER(LEFT(D643,1)) = "f", "Female", "Male")</f>
        <v>Male</v>
      </c>
      <c r="F643" s="5">
        <v>22</v>
      </c>
      <c r="G643" t="s">
        <v>44</v>
      </c>
      <c r="H643" t="s">
        <v>24</v>
      </c>
      <c r="I643" t="s">
        <v>284</v>
      </c>
      <c r="J643" s="5">
        <v>1</v>
      </c>
      <c r="K643" s="3" t="str" cm="1">
        <f t="array" ref="K643">_xlfn.IFS(J643&lt;=5, "0-5", J643&lt;=10, "6-10", J643&lt;=15, "11-15", J643&lt;=20, "16-20", J643&gt;20, "21+")</f>
        <v>0-5</v>
      </c>
      <c r="L643" t="s">
        <v>78</v>
      </c>
      <c r="M643" s="4" t="str">
        <f t="shared" ref="M643" si="333">_xlfn.TEXTAFTER(L643, " ")</f>
        <v>20</v>
      </c>
      <c r="N643" s="4">
        <f t="shared" ref="N643:N706" si="334">IF(M643="","NA",ROUND(M643,0))</f>
        <v>20</v>
      </c>
      <c r="P643" t="s">
        <v>27</v>
      </c>
      <c r="Q643" t="s">
        <v>28</v>
      </c>
      <c r="R643" s="1">
        <v>0.75</v>
      </c>
      <c r="S643" s="6">
        <f t="shared" si="329"/>
        <v>0.75</v>
      </c>
    </row>
    <row r="644" spans="1:19" ht="13.5" x14ac:dyDescent="0.25">
      <c r="A644" t="s">
        <v>1462</v>
      </c>
      <c r="B644" t="s">
        <v>1463</v>
      </c>
      <c r="C644" t="str">
        <f t="shared" si="310"/>
        <v>Joseph Thomas</v>
      </c>
      <c r="D644" t="s">
        <v>31</v>
      </c>
      <c r="E644" s="3" t="str">
        <f t="shared" si="332"/>
        <v>Male</v>
      </c>
      <c r="F644" s="5">
        <v>50</v>
      </c>
      <c r="G644" t="s">
        <v>38</v>
      </c>
      <c r="H644" t="s">
        <v>39</v>
      </c>
      <c r="I644" t="s">
        <v>292</v>
      </c>
      <c r="J644" s="5">
        <v>17</v>
      </c>
      <c r="K644" s="3" t="str" cm="1">
        <f t="array" ref="K644">_xlfn.IFS(J644&lt;=5, "0-5", J644&lt;=10, "6-10", J644&lt;=15, "11-15", J644&lt;=20, "16-20", J644&gt;20, "21+")</f>
        <v>16-20</v>
      </c>
      <c r="L644">
        <v>75</v>
      </c>
      <c r="M644" s="4">
        <f>L644</f>
        <v>75</v>
      </c>
      <c r="N644" s="4">
        <f t="shared" si="334"/>
        <v>75</v>
      </c>
      <c r="O644" s="5">
        <v>3.3</v>
      </c>
      <c r="P644">
        <v>1</v>
      </c>
      <c r="Q644" t="s">
        <v>28</v>
      </c>
      <c r="R644" s="1">
        <v>0.69</v>
      </c>
      <c r="S644" s="6">
        <f t="shared" si="329"/>
        <v>0.69</v>
      </c>
    </row>
    <row r="645" spans="1:19" ht="13.5" x14ac:dyDescent="0.25">
      <c r="A645" t="s">
        <v>1464</v>
      </c>
      <c r="B645" t="s">
        <v>1465</v>
      </c>
      <c r="C645" t="str">
        <f t="shared" si="310"/>
        <v>Dean Finley</v>
      </c>
      <c r="D645" t="s">
        <v>31</v>
      </c>
      <c r="E645" s="3" t="str">
        <f t="shared" si="332"/>
        <v>Male</v>
      </c>
      <c r="F645" s="5">
        <v>57</v>
      </c>
      <c r="G645" t="s">
        <v>33</v>
      </c>
      <c r="H645" t="s">
        <v>34</v>
      </c>
      <c r="I645" t="s">
        <v>287</v>
      </c>
      <c r="J645" s="5">
        <v>4</v>
      </c>
      <c r="K645" s="3" t="str" cm="1">
        <f t="array" ref="K645">_xlfn.IFS(J645&lt;=5, "0-5", J645&lt;=10, "6-10", J645&lt;=15, "11-15", J645&lt;=20, "16-20", J645&gt;20, "21+")</f>
        <v>0-5</v>
      </c>
      <c r="L645" t="s">
        <v>72</v>
      </c>
      <c r="M645" s="4" t="str">
        <f t="shared" ref="M645" si="335">_xlfn.TEXTAFTER(L645, " ")</f>
        <v>30</v>
      </c>
      <c r="N645" s="4">
        <f t="shared" si="334"/>
        <v>30</v>
      </c>
      <c r="O645" s="5">
        <v>4.2</v>
      </c>
      <c r="P645">
        <v>0</v>
      </c>
      <c r="Q645" t="s">
        <v>54</v>
      </c>
      <c r="S645" s="7"/>
    </row>
    <row r="646" spans="1:19" ht="13.5" x14ac:dyDescent="0.25">
      <c r="A646" t="s">
        <v>171</v>
      </c>
      <c r="B646" t="s">
        <v>172</v>
      </c>
      <c r="C646" t="str">
        <f t="shared" si="310"/>
        <v>Ashley Kemp</v>
      </c>
      <c r="D646" t="s">
        <v>21</v>
      </c>
      <c r="E646" s="3" t="str">
        <f t="shared" si="332"/>
        <v>Female</v>
      </c>
      <c r="F646" s="5">
        <v>47</v>
      </c>
      <c r="G646" t="s">
        <v>44</v>
      </c>
      <c r="H646" t="s">
        <v>24</v>
      </c>
      <c r="I646" t="s">
        <v>25</v>
      </c>
      <c r="J646" s="5">
        <v>29</v>
      </c>
      <c r="K646" s="3" t="str" cm="1">
        <f t="array" ref="K646">_xlfn.IFS(J646&lt;=5, "0-5", J646&lt;=10, "6-10", J646&lt;=15, "11-15", J646&lt;=20, "16-20", J646&gt;20, "21+")</f>
        <v>21+</v>
      </c>
      <c r="L646" s="2">
        <v>50</v>
      </c>
      <c r="M646" s="4" t="str">
        <f t="shared" ref="M646:M647" si="336">SUBSTITUTE(L646, "$","")</f>
        <v>50</v>
      </c>
      <c r="N646" s="4">
        <f t="shared" si="334"/>
        <v>50</v>
      </c>
      <c r="P646">
        <v>1</v>
      </c>
      <c r="Q646" t="s">
        <v>28</v>
      </c>
      <c r="R646" s="1">
        <v>0.79</v>
      </c>
      <c r="S646" s="6">
        <f t="shared" ref="S646:S650" si="337">R646</f>
        <v>0.79</v>
      </c>
    </row>
    <row r="647" spans="1:19" ht="13.5" x14ac:dyDescent="0.25">
      <c r="A647" t="s">
        <v>1466</v>
      </c>
      <c r="B647" t="s">
        <v>1467</v>
      </c>
      <c r="C647" t="str">
        <f t="shared" si="310"/>
        <v>Kenneth Evans</v>
      </c>
      <c r="D647" t="s">
        <v>328</v>
      </c>
      <c r="E647" s="3" t="str">
        <f t="shared" si="332"/>
        <v>Male</v>
      </c>
      <c r="F647" s="5">
        <v>24</v>
      </c>
      <c r="G647" t="s">
        <v>177</v>
      </c>
      <c r="H647" t="s">
        <v>178</v>
      </c>
      <c r="I647" t="s">
        <v>291</v>
      </c>
      <c r="J647" s="5">
        <v>2</v>
      </c>
      <c r="K647" s="3" t="str" cm="1">
        <f t="array" ref="K647">_xlfn.IFS(J647&lt;=5, "0-5", J647&lt;=10, "6-10", J647&lt;=15, "11-15", J647&lt;=20, "16-20", J647&gt;20, "21+")</f>
        <v>0-5</v>
      </c>
      <c r="L647" s="2">
        <v>100</v>
      </c>
      <c r="M647" s="4" t="str">
        <f t="shared" si="336"/>
        <v>100</v>
      </c>
      <c r="N647" s="4">
        <f t="shared" si="334"/>
        <v>100</v>
      </c>
      <c r="O647" s="5">
        <v>3.8</v>
      </c>
      <c r="P647">
        <v>1</v>
      </c>
      <c r="Q647" t="s">
        <v>28</v>
      </c>
      <c r="R647" s="1">
        <v>0.71</v>
      </c>
      <c r="S647" s="6">
        <f t="shared" si="337"/>
        <v>0.71</v>
      </c>
    </row>
    <row r="648" spans="1:19" ht="13.5" x14ac:dyDescent="0.25">
      <c r="A648" t="s">
        <v>1468</v>
      </c>
      <c r="B648" t="s">
        <v>1469</v>
      </c>
      <c r="C648" t="str">
        <f t="shared" si="310"/>
        <v>Brandon Newman</v>
      </c>
      <c r="D648" t="s">
        <v>31</v>
      </c>
      <c r="E648" s="3" t="str">
        <f t="shared" si="332"/>
        <v>Male</v>
      </c>
      <c r="G648" t="s">
        <v>146</v>
      </c>
      <c r="H648" t="s">
        <v>147</v>
      </c>
      <c r="I648" t="s">
        <v>288</v>
      </c>
      <c r="J648" s="5">
        <v>9</v>
      </c>
      <c r="K648" s="3" t="str" cm="1">
        <f t="array" ref="K648">_xlfn.IFS(J648&lt;=5, "0-5", J648&lt;=10, "6-10", J648&lt;=15, "11-15", J648&lt;=20, "16-20", J648&gt;20, "21+")</f>
        <v>6-10</v>
      </c>
      <c r="L648">
        <v>100</v>
      </c>
      <c r="M648" s="4">
        <f>L648</f>
        <v>100</v>
      </c>
      <c r="N648" s="4">
        <f t="shared" si="334"/>
        <v>100</v>
      </c>
      <c r="O648" s="5">
        <v>4.8</v>
      </c>
      <c r="P648" t="s">
        <v>57</v>
      </c>
      <c r="Q648" t="s">
        <v>28</v>
      </c>
      <c r="R648" s="1">
        <v>0.72</v>
      </c>
      <c r="S648" s="6">
        <f t="shared" si="337"/>
        <v>0.72</v>
      </c>
    </row>
    <row r="649" spans="1:19" ht="13.5" x14ac:dyDescent="0.25">
      <c r="A649" t="s">
        <v>1470</v>
      </c>
      <c r="B649" t="s">
        <v>1471</v>
      </c>
      <c r="C649" t="str">
        <f t="shared" si="310"/>
        <v>Katie Hensley</v>
      </c>
      <c r="D649" t="s">
        <v>21</v>
      </c>
      <c r="E649" s="3" t="str">
        <f t="shared" si="332"/>
        <v>Female</v>
      </c>
      <c r="F649" s="5">
        <v>50</v>
      </c>
      <c r="G649" t="s">
        <v>33</v>
      </c>
      <c r="H649" t="s">
        <v>34</v>
      </c>
      <c r="I649" t="s">
        <v>283</v>
      </c>
      <c r="J649" s="5">
        <v>10</v>
      </c>
      <c r="K649" s="3" t="str" cm="1">
        <f t="array" ref="K649">_xlfn.IFS(J649&lt;=5, "0-5", J649&lt;=10, "6-10", J649&lt;=15, "11-15", J649&lt;=20, "16-20", J649&gt;20, "21+")</f>
        <v>6-10</v>
      </c>
      <c r="L649" s="2">
        <v>100</v>
      </c>
      <c r="M649" s="4" t="str">
        <f>SUBSTITUTE(L649, "$","")</f>
        <v>100</v>
      </c>
      <c r="N649" s="4">
        <f t="shared" si="334"/>
        <v>100</v>
      </c>
      <c r="O649" s="5">
        <v>4.3</v>
      </c>
      <c r="P649" t="s">
        <v>64</v>
      </c>
      <c r="Q649" t="s">
        <v>54</v>
      </c>
      <c r="R649" s="1">
        <v>0.93</v>
      </c>
      <c r="S649" s="6">
        <f t="shared" si="337"/>
        <v>0.93</v>
      </c>
    </row>
    <row r="650" spans="1:19" ht="13.5" x14ac:dyDescent="0.25">
      <c r="A650" t="s">
        <v>1472</v>
      </c>
      <c r="B650" t="s">
        <v>1473</v>
      </c>
      <c r="C650" t="str">
        <f t="shared" si="310"/>
        <v>Joel Randolph</v>
      </c>
      <c r="D650" t="s">
        <v>328</v>
      </c>
      <c r="E650" s="3" t="str">
        <f t="shared" si="332"/>
        <v>Male</v>
      </c>
      <c r="F650" s="5">
        <v>46</v>
      </c>
      <c r="G650" t="s">
        <v>47</v>
      </c>
      <c r="H650" t="s">
        <v>48</v>
      </c>
      <c r="I650" t="s">
        <v>284</v>
      </c>
      <c r="J650" s="5">
        <v>20</v>
      </c>
      <c r="K650" s="3" t="str" cm="1">
        <f t="array" ref="K650">_xlfn.IFS(J650&lt;=5, "0-5", J650&lt;=10, "6-10", J650&lt;=15, "11-15", J650&lt;=20, "16-20", J650&gt;20, "21+")</f>
        <v>16-20</v>
      </c>
      <c r="N650" s="4" t="str">
        <f t="shared" si="334"/>
        <v>NA</v>
      </c>
      <c r="O650" s="5">
        <v>4.8</v>
      </c>
      <c r="P650">
        <v>1</v>
      </c>
      <c r="Q650" t="s">
        <v>28</v>
      </c>
      <c r="R650" s="1">
        <v>0.82</v>
      </c>
      <c r="S650" s="6">
        <f t="shared" si="337"/>
        <v>0.82</v>
      </c>
    </row>
    <row r="651" spans="1:19" ht="13.5" x14ac:dyDescent="0.25">
      <c r="A651" t="s">
        <v>1474</v>
      </c>
      <c r="B651" t="s">
        <v>1475</v>
      </c>
      <c r="C651" t="str">
        <f t="shared" si="310"/>
        <v>Andrew Scott</v>
      </c>
      <c r="D651" t="s">
        <v>31</v>
      </c>
      <c r="E651" s="3" t="str">
        <f t="shared" si="332"/>
        <v>Male</v>
      </c>
      <c r="F651" s="5">
        <v>51</v>
      </c>
      <c r="G651" t="s">
        <v>38</v>
      </c>
      <c r="H651" t="s">
        <v>39</v>
      </c>
      <c r="I651" t="s">
        <v>288</v>
      </c>
      <c r="J651" s="5">
        <v>9</v>
      </c>
      <c r="K651" s="3" t="str" cm="1">
        <f t="array" ref="K651">_xlfn.IFS(J651&lt;=5, "0-5", J651&lt;=10, "6-10", J651&lt;=15, "11-15", J651&lt;=20, "16-20", J651&gt;20, "21+")</f>
        <v>6-10</v>
      </c>
      <c r="L651" s="2">
        <v>40</v>
      </c>
      <c r="M651" s="4" t="str">
        <f>SUBSTITUTE(L651, "$","")</f>
        <v>40</v>
      </c>
      <c r="N651" s="4">
        <f t="shared" si="334"/>
        <v>40</v>
      </c>
      <c r="P651" t="s">
        <v>64</v>
      </c>
      <c r="Q651" t="s">
        <v>54</v>
      </c>
      <c r="R651">
        <v>60</v>
      </c>
      <c r="S651" s="6">
        <f t="shared" ref="S651:S652" si="338">R651/100</f>
        <v>0.6</v>
      </c>
    </row>
    <row r="652" spans="1:19" ht="13.5" x14ac:dyDescent="0.25">
      <c r="A652" t="s">
        <v>169</v>
      </c>
      <c r="B652" t="s">
        <v>170</v>
      </c>
      <c r="C652" t="str">
        <f t="shared" si="310"/>
        <v>Zachary Ochoa</v>
      </c>
      <c r="D652" t="s">
        <v>311</v>
      </c>
      <c r="E652" s="3" t="str">
        <f t="shared" si="332"/>
        <v>Male</v>
      </c>
      <c r="F652" s="5">
        <v>51</v>
      </c>
      <c r="G652" t="s">
        <v>152</v>
      </c>
      <c r="H652" t="s">
        <v>39</v>
      </c>
      <c r="I652" t="s">
        <v>25</v>
      </c>
      <c r="J652" s="5">
        <v>12</v>
      </c>
      <c r="K652" s="3" t="str" cm="1">
        <f t="array" ref="K652">_xlfn.IFS(J652&lt;=5, "0-5", J652&lt;=10, "6-10", J652&lt;=15, "11-15", J652&lt;=20, "16-20", J652&gt;20, "21+")</f>
        <v>11-15</v>
      </c>
      <c r="L652">
        <v>20</v>
      </c>
      <c r="M652" s="4">
        <f>L652</f>
        <v>20</v>
      </c>
      <c r="N652" s="4">
        <f t="shared" si="334"/>
        <v>20</v>
      </c>
      <c r="O652" s="5">
        <v>4</v>
      </c>
      <c r="P652">
        <v>0</v>
      </c>
      <c r="Q652" t="s">
        <v>54</v>
      </c>
      <c r="R652">
        <v>93</v>
      </c>
      <c r="S652" s="6">
        <f t="shared" si="338"/>
        <v>0.93</v>
      </c>
    </row>
    <row r="653" spans="1:19" ht="13.5" x14ac:dyDescent="0.25">
      <c r="A653" t="s">
        <v>167</v>
      </c>
      <c r="B653" t="s">
        <v>168</v>
      </c>
      <c r="C653" t="str">
        <f t="shared" si="310"/>
        <v>John Arroyo</v>
      </c>
      <c r="D653" t="s">
        <v>43</v>
      </c>
      <c r="E653" s="3" t="str">
        <f t="shared" si="332"/>
        <v>Male</v>
      </c>
      <c r="F653" s="5">
        <v>27</v>
      </c>
      <c r="G653" t="s">
        <v>152</v>
      </c>
      <c r="H653" t="s">
        <v>39</v>
      </c>
      <c r="I653" t="s">
        <v>25</v>
      </c>
      <c r="J653" s="5">
        <v>3</v>
      </c>
      <c r="K653" s="3" t="str" cm="1">
        <f t="array" ref="K653">_xlfn.IFS(J653&lt;=5, "0-5", J653&lt;=10, "6-10", J653&lt;=15, "11-15", J653&lt;=20, "16-20", J653&gt;20, "21+")</f>
        <v>0-5</v>
      </c>
      <c r="L653" t="s">
        <v>112</v>
      </c>
      <c r="M653" s="4" t="str">
        <f t="shared" ref="M653" si="339">_xlfn.TEXTAFTER(L653, " ")</f>
        <v>50</v>
      </c>
      <c r="N653" s="4">
        <f t="shared" si="334"/>
        <v>50</v>
      </c>
      <c r="P653" t="b">
        <v>0</v>
      </c>
      <c r="Q653" t="s">
        <v>54</v>
      </c>
      <c r="S653" s="7"/>
    </row>
    <row r="654" spans="1:19" ht="13.5" x14ac:dyDescent="0.25">
      <c r="A654" t="s">
        <v>1476</v>
      </c>
      <c r="B654" t="s">
        <v>1477</v>
      </c>
      <c r="C654" t="str">
        <f t="shared" si="310"/>
        <v>Matthew Fernandez</v>
      </c>
      <c r="D654" t="s">
        <v>311</v>
      </c>
      <c r="E654" s="3" t="str">
        <f t="shared" si="332"/>
        <v>Male</v>
      </c>
      <c r="F654" s="5">
        <v>42</v>
      </c>
      <c r="G654" t="s">
        <v>84</v>
      </c>
      <c r="H654" t="s">
        <v>24</v>
      </c>
      <c r="I654" t="s">
        <v>290</v>
      </c>
      <c r="J654" s="5">
        <v>13</v>
      </c>
      <c r="K654" s="3" t="str" cm="1">
        <f t="array" ref="K654">_xlfn.IFS(J654&lt;=5, "0-5", J654&lt;=10, "6-10", J654&lt;=15, "11-15", J654&lt;=20, "16-20", J654&gt;20, "21+")</f>
        <v>11-15</v>
      </c>
      <c r="L654">
        <v>30</v>
      </c>
      <c r="M654" s="4">
        <f>L654</f>
        <v>30</v>
      </c>
      <c r="N654" s="4">
        <f t="shared" si="334"/>
        <v>30</v>
      </c>
      <c r="O654" s="5">
        <v>0</v>
      </c>
      <c r="P654" t="b">
        <v>0</v>
      </c>
      <c r="Q654" t="s">
        <v>54</v>
      </c>
      <c r="R654" s="1">
        <v>0.74</v>
      </c>
      <c r="S654" s="6">
        <f>R654</f>
        <v>0.74</v>
      </c>
    </row>
    <row r="655" spans="1:19" ht="13.5" x14ac:dyDescent="0.25">
      <c r="A655" t="s">
        <v>1478</v>
      </c>
      <c r="B655" t="s">
        <v>1479</v>
      </c>
      <c r="C655" t="str">
        <f t="shared" si="310"/>
        <v>Benjamin Stark</v>
      </c>
      <c r="D655" t="s">
        <v>311</v>
      </c>
      <c r="E655" s="3" t="str">
        <f t="shared" si="332"/>
        <v>Male</v>
      </c>
      <c r="F655" s="5">
        <v>25</v>
      </c>
      <c r="G655" t="s">
        <v>33</v>
      </c>
      <c r="H655" t="s">
        <v>34</v>
      </c>
      <c r="I655" t="s">
        <v>286</v>
      </c>
      <c r="J655" s="5">
        <v>4</v>
      </c>
      <c r="K655" s="3" t="str" cm="1">
        <f t="array" ref="K655">_xlfn.IFS(J655&lt;=5, "0-5", J655&lt;=10, "6-10", J655&lt;=15, "11-15", J655&lt;=20, "16-20", J655&gt;20, "21+")</f>
        <v>0-5</v>
      </c>
      <c r="L655" s="2">
        <v>40</v>
      </c>
      <c r="M655" s="4" t="str">
        <f>SUBSTITUTE(L655, "$","")</f>
        <v>40</v>
      </c>
      <c r="N655" s="4">
        <f t="shared" si="334"/>
        <v>40</v>
      </c>
      <c r="O655" s="5">
        <v>2.2999999999999998</v>
      </c>
      <c r="P655" t="s">
        <v>27</v>
      </c>
      <c r="Q655" t="s">
        <v>28</v>
      </c>
      <c r="R655">
        <v>73</v>
      </c>
      <c r="S655" s="6">
        <f>R655/100</f>
        <v>0.73</v>
      </c>
    </row>
    <row r="656" spans="1:19" ht="13.5" x14ac:dyDescent="0.25">
      <c r="A656" t="s">
        <v>1480</v>
      </c>
      <c r="B656" t="s">
        <v>1481</v>
      </c>
      <c r="C656" t="str">
        <f t="shared" si="310"/>
        <v>Tammy Greer</v>
      </c>
      <c r="D656" t="s">
        <v>22</v>
      </c>
      <c r="E656" s="3" t="str">
        <f t="shared" si="332"/>
        <v>Female</v>
      </c>
      <c r="F656" s="5">
        <v>32</v>
      </c>
      <c r="G656" t="s">
        <v>33</v>
      </c>
      <c r="H656" t="s">
        <v>34</v>
      </c>
      <c r="I656" t="s">
        <v>291</v>
      </c>
      <c r="J656" s="5">
        <v>9</v>
      </c>
      <c r="K656" s="3" t="str" cm="1">
        <f t="array" ref="K656">_xlfn.IFS(J656&lt;=5, "0-5", J656&lt;=10, "6-10", J656&lt;=15, "11-15", J656&lt;=20, "16-20", J656&gt;20, "21+")</f>
        <v>6-10</v>
      </c>
      <c r="L656">
        <v>75</v>
      </c>
      <c r="M656" s="4">
        <f t="shared" ref="M656:M658" si="340">L656</f>
        <v>75</v>
      </c>
      <c r="N656" s="4">
        <f t="shared" si="334"/>
        <v>75</v>
      </c>
      <c r="P656" t="s">
        <v>64</v>
      </c>
      <c r="Q656" t="s">
        <v>54</v>
      </c>
      <c r="R656" s="1">
        <v>0.96</v>
      </c>
      <c r="S656" s="6">
        <f t="shared" ref="S656:S661" si="341">R656</f>
        <v>0.96</v>
      </c>
    </row>
    <row r="657" spans="1:19" ht="13.5" x14ac:dyDescent="0.25">
      <c r="A657" t="s">
        <v>1482</v>
      </c>
      <c r="B657" t="s">
        <v>1483</v>
      </c>
      <c r="C657" t="str">
        <f t="shared" si="310"/>
        <v>Cynthia Mckinney</v>
      </c>
      <c r="D657" t="s">
        <v>304</v>
      </c>
      <c r="E657" s="3" t="str">
        <f t="shared" si="332"/>
        <v>Female</v>
      </c>
      <c r="F657" s="5">
        <v>59</v>
      </c>
      <c r="G657" t="s">
        <v>125</v>
      </c>
      <c r="H657" t="s">
        <v>39</v>
      </c>
      <c r="I657" t="s">
        <v>287</v>
      </c>
      <c r="J657" s="5">
        <v>14</v>
      </c>
      <c r="K657" s="3" t="str" cm="1">
        <f t="array" ref="K657">_xlfn.IFS(J657&lt;=5, "0-5", J657&lt;=10, "6-10", J657&lt;=15, "11-15", J657&lt;=20, "16-20", J657&gt;20, "21+")</f>
        <v>11-15</v>
      </c>
      <c r="L657">
        <v>30</v>
      </c>
      <c r="M657" s="4">
        <f t="shared" si="340"/>
        <v>30</v>
      </c>
      <c r="N657" s="4">
        <f t="shared" si="334"/>
        <v>30</v>
      </c>
      <c r="O657" s="5">
        <v>3.8</v>
      </c>
      <c r="R657" s="1">
        <v>0.66</v>
      </c>
      <c r="S657" s="6">
        <f t="shared" si="341"/>
        <v>0.66</v>
      </c>
    </row>
    <row r="658" spans="1:19" ht="13.5" x14ac:dyDescent="0.25">
      <c r="A658" t="s">
        <v>1484</v>
      </c>
      <c r="B658" t="s">
        <v>1485</v>
      </c>
      <c r="C658" t="str">
        <f t="shared" si="310"/>
        <v>Wendy Rice</v>
      </c>
      <c r="D658" t="s">
        <v>21</v>
      </c>
      <c r="E658" s="3" t="str">
        <f t="shared" si="332"/>
        <v>Female</v>
      </c>
      <c r="F658" s="5">
        <v>59</v>
      </c>
      <c r="G658" t="s">
        <v>132</v>
      </c>
      <c r="H658" t="s">
        <v>133</v>
      </c>
      <c r="I658" t="s">
        <v>288</v>
      </c>
      <c r="J658" s="5">
        <v>37</v>
      </c>
      <c r="K658" s="3" t="str" cm="1">
        <f t="array" ref="K658">_xlfn.IFS(J658&lt;=5, "0-5", J658&lt;=10, "6-10", J658&lt;=15, "11-15", J658&lt;=20, "16-20", J658&gt;20, "21+")</f>
        <v>21+</v>
      </c>
      <c r="L658">
        <v>30</v>
      </c>
      <c r="M658" s="4">
        <f t="shared" si="340"/>
        <v>30</v>
      </c>
      <c r="N658" s="4">
        <f t="shared" si="334"/>
        <v>30</v>
      </c>
      <c r="O658" s="5">
        <v>4</v>
      </c>
      <c r="P658" t="b">
        <v>0</v>
      </c>
      <c r="Q658" t="s">
        <v>54</v>
      </c>
      <c r="R658" s="1">
        <v>0.62</v>
      </c>
      <c r="S658" s="6">
        <f t="shared" si="341"/>
        <v>0.62</v>
      </c>
    </row>
    <row r="659" spans="1:19" ht="13.5" x14ac:dyDescent="0.25">
      <c r="A659" t="s">
        <v>1486</v>
      </c>
      <c r="B659" t="s">
        <v>1487</v>
      </c>
      <c r="C659" t="str">
        <f t="shared" si="310"/>
        <v>Randy Bender</v>
      </c>
      <c r="D659" t="s">
        <v>32</v>
      </c>
      <c r="E659" s="3" t="str">
        <f t="shared" si="332"/>
        <v>Male</v>
      </c>
      <c r="F659" s="5">
        <v>29</v>
      </c>
      <c r="G659" t="s">
        <v>33</v>
      </c>
      <c r="H659" t="s">
        <v>34</v>
      </c>
      <c r="I659" t="s">
        <v>287</v>
      </c>
      <c r="J659" s="5">
        <v>2</v>
      </c>
      <c r="K659" s="3" t="str" cm="1">
        <f t="array" ref="K659">_xlfn.IFS(J659&lt;=5, "0-5", J659&lt;=10, "6-10", J659&lt;=15, "11-15", J659&lt;=20, "16-20", J659&gt;20, "21+")</f>
        <v>0-5</v>
      </c>
      <c r="L659" t="s">
        <v>92</v>
      </c>
      <c r="M659" s="4" t="str">
        <f t="shared" ref="M659" si="342">_xlfn.TEXTAFTER(L659, " ")</f>
        <v>75</v>
      </c>
      <c r="N659" s="4">
        <f t="shared" si="334"/>
        <v>75</v>
      </c>
      <c r="O659" s="5">
        <v>2.2000000000000002</v>
      </c>
      <c r="P659" t="s">
        <v>57</v>
      </c>
      <c r="Q659" t="s">
        <v>28</v>
      </c>
      <c r="R659" s="1">
        <v>0.85</v>
      </c>
      <c r="S659" s="6">
        <f t="shared" si="341"/>
        <v>0.85</v>
      </c>
    </row>
    <row r="660" spans="1:19" ht="13.5" x14ac:dyDescent="0.25">
      <c r="A660" t="s">
        <v>163</v>
      </c>
      <c r="B660" t="s">
        <v>164</v>
      </c>
      <c r="C660" t="str">
        <f t="shared" si="310"/>
        <v>Richard Dominguez</v>
      </c>
      <c r="D660" t="s">
        <v>311</v>
      </c>
      <c r="E660" s="3" t="str">
        <f t="shared" si="332"/>
        <v>Male</v>
      </c>
      <c r="F660" s="5">
        <v>58</v>
      </c>
      <c r="G660" t="s">
        <v>165</v>
      </c>
      <c r="H660" t="s">
        <v>166</v>
      </c>
      <c r="I660" t="s">
        <v>25</v>
      </c>
      <c r="J660" s="5">
        <v>11</v>
      </c>
      <c r="K660" s="3" t="str" cm="1">
        <f t="array" ref="K660">_xlfn.IFS(J660&lt;=5, "0-5", J660&lt;=10, "6-10", J660&lt;=15, "11-15", J660&lt;=20, "16-20", J660&gt;20, "21+")</f>
        <v>11-15</v>
      </c>
      <c r="L660">
        <v>100</v>
      </c>
      <c r="M660" s="4">
        <f t="shared" ref="M660:M663" si="343">L660</f>
        <v>100</v>
      </c>
      <c r="N660" s="4">
        <f t="shared" si="334"/>
        <v>100</v>
      </c>
      <c r="O660" s="5">
        <v>4.3</v>
      </c>
      <c r="P660">
        <v>0</v>
      </c>
      <c r="Q660" t="s">
        <v>54</v>
      </c>
      <c r="R660" s="1">
        <v>0.66</v>
      </c>
      <c r="S660" s="6">
        <f t="shared" si="341"/>
        <v>0.66</v>
      </c>
    </row>
    <row r="661" spans="1:19" ht="13.5" x14ac:dyDescent="0.25">
      <c r="A661" t="s">
        <v>1488</v>
      </c>
      <c r="B661" t="s">
        <v>1489</v>
      </c>
      <c r="C661" t="str">
        <f t="shared" si="310"/>
        <v>Melissa Maldonado</v>
      </c>
      <c r="D661" t="s">
        <v>37</v>
      </c>
      <c r="E661" s="3" t="str">
        <f t="shared" si="332"/>
        <v>Female</v>
      </c>
      <c r="F661" s="5">
        <v>56</v>
      </c>
      <c r="G661" t="s">
        <v>125</v>
      </c>
      <c r="H661" t="s">
        <v>39</v>
      </c>
      <c r="I661" t="s">
        <v>288</v>
      </c>
      <c r="J661" s="5">
        <v>19</v>
      </c>
      <c r="K661" s="3" t="str" cm="1">
        <f t="array" ref="K661">_xlfn.IFS(J661&lt;=5, "0-5", J661&lt;=10, "6-10", J661&lt;=15, "11-15", J661&lt;=20, "16-20", J661&gt;20, "21+")</f>
        <v>16-20</v>
      </c>
      <c r="L661">
        <v>20</v>
      </c>
      <c r="M661" s="4">
        <f t="shared" si="343"/>
        <v>20</v>
      </c>
      <c r="N661" s="4">
        <f t="shared" si="334"/>
        <v>20</v>
      </c>
      <c r="O661" s="5">
        <v>0</v>
      </c>
      <c r="P661">
        <v>0</v>
      </c>
      <c r="Q661" t="s">
        <v>54</v>
      </c>
      <c r="R661" s="1">
        <v>0.87</v>
      </c>
      <c r="S661" s="6">
        <f t="shared" si="341"/>
        <v>0.87</v>
      </c>
    </row>
    <row r="662" spans="1:19" ht="13.5" x14ac:dyDescent="0.25">
      <c r="A662" t="s">
        <v>1490</v>
      </c>
      <c r="B662" t="s">
        <v>1491</v>
      </c>
      <c r="C662" t="str">
        <f t="shared" si="310"/>
        <v>Leah Harris</v>
      </c>
      <c r="D662" t="s">
        <v>301</v>
      </c>
      <c r="E662" s="3" t="str">
        <f t="shared" si="332"/>
        <v>Female</v>
      </c>
      <c r="F662" s="5">
        <v>36</v>
      </c>
      <c r="G662" t="s">
        <v>183</v>
      </c>
      <c r="H662" t="s">
        <v>39</v>
      </c>
      <c r="I662" t="s">
        <v>284</v>
      </c>
      <c r="J662" s="5">
        <v>9</v>
      </c>
      <c r="K662" s="3" t="str" cm="1">
        <f t="array" ref="K662">_xlfn.IFS(J662&lt;=5, "0-5", J662&lt;=10, "6-10", J662&lt;=15, "11-15", J662&lt;=20, "16-20", J662&gt;20, "21+")</f>
        <v>6-10</v>
      </c>
      <c r="L662">
        <v>20</v>
      </c>
      <c r="M662" s="4">
        <f t="shared" si="343"/>
        <v>20</v>
      </c>
      <c r="N662" s="4">
        <f t="shared" si="334"/>
        <v>20</v>
      </c>
      <c r="O662" s="5">
        <v>0</v>
      </c>
      <c r="P662">
        <v>1</v>
      </c>
      <c r="Q662" t="s">
        <v>28</v>
      </c>
      <c r="R662">
        <v>68</v>
      </c>
      <c r="S662" s="6">
        <f>R662/100</f>
        <v>0.68</v>
      </c>
    </row>
    <row r="663" spans="1:19" ht="13.5" x14ac:dyDescent="0.25">
      <c r="A663" t="s">
        <v>1492</v>
      </c>
      <c r="B663" t="s">
        <v>1493</v>
      </c>
      <c r="C663" t="str">
        <f t="shared" si="310"/>
        <v>Lynn French</v>
      </c>
      <c r="D663" t="s">
        <v>22</v>
      </c>
      <c r="E663" s="3" t="str">
        <f t="shared" si="332"/>
        <v>Female</v>
      </c>
      <c r="F663" s="5">
        <v>52</v>
      </c>
      <c r="G663" t="s">
        <v>125</v>
      </c>
      <c r="H663" t="s">
        <v>39</v>
      </c>
      <c r="I663" t="s">
        <v>286</v>
      </c>
      <c r="J663" s="5">
        <v>16</v>
      </c>
      <c r="K663" s="3" t="str" cm="1">
        <f t="array" ref="K663">_xlfn.IFS(J663&lt;=5, "0-5", J663&lt;=10, "6-10", J663&lt;=15, "11-15", J663&lt;=20, "16-20", J663&gt;20, "21+")</f>
        <v>16-20</v>
      </c>
      <c r="L663">
        <v>100</v>
      </c>
      <c r="M663" s="4">
        <f t="shared" si="343"/>
        <v>100</v>
      </c>
      <c r="N663" s="4">
        <f t="shared" si="334"/>
        <v>100</v>
      </c>
      <c r="O663" s="5">
        <v>4</v>
      </c>
      <c r="P663">
        <v>1</v>
      </c>
      <c r="Q663" t="s">
        <v>28</v>
      </c>
      <c r="S663" s="7"/>
    </row>
    <row r="664" spans="1:19" ht="13.5" x14ac:dyDescent="0.25">
      <c r="A664" t="s">
        <v>1494</v>
      </c>
      <c r="B664" t="s">
        <v>1495</v>
      </c>
      <c r="C664" t="str">
        <f t="shared" si="310"/>
        <v>Angela Johnson</v>
      </c>
      <c r="D664" t="s">
        <v>22</v>
      </c>
      <c r="E664" s="3" t="str">
        <f t="shared" si="332"/>
        <v>Female</v>
      </c>
      <c r="F664" s="5">
        <v>42</v>
      </c>
      <c r="G664" t="s">
        <v>52</v>
      </c>
      <c r="H664" t="s">
        <v>53</v>
      </c>
      <c r="I664" t="s">
        <v>285</v>
      </c>
      <c r="J664" s="5">
        <v>8</v>
      </c>
      <c r="K664" s="3" t="str" cm="1">
        <f t="array" ref="K664">_xlfn.IFS(J664&lt;=5, "0-5", J664&lt;=10, "6-10", J664&lt;=15, "11-15", J664&lt;=20, "16-20", J664&gt;20, "21+")</f>
        <v>6-10</v>
      </c>
      <c r="L664" t="s">
        <v>112</v>
      </c>
      <c r="M664" s="4" t="str">
        <f t="shared" ref="M664" si="344">_xlfn.TEXTAFTER(L664, " ")</f>
        <v>50</v>
      </c>
      <c r="N664" s="4">
        <f t="shared" si="334"/>
        <v>50</v>
      </c>
      <c r="S664" s="7"/>
    </row>
    <row r="665" spans="1:19" ht="13.5" x14ac:dyDescent="0.25">
      <c r="A665" t="s">
        <v>1496</v>
      </c>
      <c r="B665" t="s">
        <v>1497</v>
      </c>
      <c r="C665" t="str">
        <f t="shared" si="310"/>
        <v>Sarah Edwards</v>
      </c>
      <c r="D665" t="s">
        <v>21</v>
      </c>
      <c r="E665" s="3" t="str">
        <f t="shared" si="332"/>
        <v>Female</v>
      </c>
      <c r="F665" s="5">
        <v>59</v>
      </c>
      <c r="G665" t="s">
        <v>146</v>
      </c>
      <c r="H665" t="s">
        <v>147</v>
      </c>
      <c r="I665" t="s">
        <v>285</v>
      </c>
      <c r="J665" s="5">
        <v>34</v>
      </c>
      <c r="K665" s="3" t="str" cm="1">
        <f t="array" ref="K665">_xlfn.IFS(J665&lt;=5, "0-5", J665&lt;=10, "6-10", J665&lt;=15, "11-15", J665&lt;=20, "16-20", J665&gt;20, "21+")</f>
        <v>21+</v>
      </c>
      <c r="L665">
        <v>100</v>
      </c>
      <c r="M665" s="4">
        <f>L665</f>
        <v>100</v>
      </c>
      <c r="N665" s="4">
        <f t="shared" si="334"/>
        <v>100</v>
      </c>
      <c r="O665" s="5">
        <v>2</v>
      </c>
      <c r="P665">
        <v>1</v>
      </c>
      <c r="Q665" t="s">
        <v>28</v>
      </c>
      <c r="R665" s="1">
        <v>0.79</v>
      </c>
      <c r="S665" s="6">
        <f t="shared" ref="S665:S667" si="345">R665</f>
        <v>0.79</v>
      </c>
    </row>
    <row r="666" spans="1:19" ht="13.5" x14ac:dyDescent="0.25">
      <c r="A666" t="s">
        <v>1498</v>
      </c>
      <c r="B666" t="s">
        <v>1499</v>
      </c>
      <c r="C666" t="str">
        <f t="shared" si="310"/>
        <v>Roy Collins</v>
      </c>
      <c r="D666" t="s">
        <v>31</v>
      </c>
      <c r="E666" s="3" t="str">
        <f t="shared" si="332"/>
        <v>Male</v>
      </c>
      <c r="F666" s="5">
        <v>33</v>
      </c>
      <c r="G666" t="s">
        <v>52</v>
      </c>
      <c r="H666" t="s">
        <v>53</v>
      </c>
      <c r="I666" t="s">
        <v>285</v>
      </c>
      <c r="J666" s="5">
        <v>5</v>
      </c>
      <c r="K666" s="3" t="str" cm="1">
        <f t="array" ref="K666">_xlfn.IFS(J666&lt;=5, "0-5", J666&lt;=10, "6-10", J666&lt;=15, "11-15", J666&lt;=20, "16-20", J666&gt;20, "21+")</f>
        <v>0-5</v>
      </c>
      <c r="L666" s="2">
        <v>50</v>
      </c>
      <c r="M666" s="4" t="str">
        <f>SUBSTITUTE(L666, "$","")</f>
        <v>50</v>
      </c>
      <c r="N666" s="4">
        <f t="shared" si="334"/>
        <v>50</v>
      </c>
      <c r="O666" s="5">
        <v>4.7</v>
      </c>
      <c r="P666">
        <v>1</v>
      </c>
      <c r="Q666" t="s">
        <v>28</v>
      </c>
      <c r="R666" s="1">
        <v>0.88</v>
      </c>
      <c r="S666" s="6">
        <f t="shared" si="345"/>
        <v>0.88</v>
      </c>
    </row>
    <row r="667" spans="1:19" ht="13.5" x14ac:dyDescent="0.25">
      <c r="A667" t="s">
        <v>1500</v>
      </c>
      <c r="B667" t="s">
        <v>1501</v>
      </c>
      <c r="C667" t="str">
        <f t="shared" ref="C667:C730" si="346">B667</f>
        <v>Samantha Porter</v>
      </c>
      <c r="D667" t="s">
        <v>301</v>
      </c>
      <c r="E667" s="3" t="str">
        <f t="shared" si="332"/>
        <v>Female</v>
      </c>
      <c r="F667" s="5">
        <v>55</v>
      </c>
      <c r="G667" t="s">
        <v>125</v>
      </c>
      <c r="H667" t="s">
        <v>39</v>
      </c>
      <c r="I667" t="s">
        <v>290</v>
      </c>
      <c r="J667" s="5">
        <v>14</v>
      </c>
      <c r="K667" s="3" t="str" cm="1">
        <f t="array" ref="K667">_xlfn.IFS(J667&lt;=5, "0-5", J667&lt;=10, "6-10", J667&lt;=15, "11-15", J667&lt;=20, "16-20", J667&gt;20, "21+")</f>
        <v>11-15</v>
      </c>
      <c r="L667" t="s">
        <v>112</v>
      </c>
      <c r="M667" s="4" t="str">
        <f t="shared" ref="M667" si="347">_xlfn.TEXTAFTER(L667, " ")</f>
        <v>50</v>
      </c>
      <c r="N667" s="4">
        <f t="shared" si="334"/>
        <v>50</v>
      </c>
      <c r="O667" s="5">
        <v>3.6</v>
      </c>
      <c r="P667">
        <v>1</v>
      </c>
      <c r="Q667" t="s">
        <v>28</v>
      </c>
      <c r="R667" s="1">
        <v>0.81</v>
      </c>
      <c r="S667" s="6">
        <f t="shared" si="345"/>
        <v>0.81</v>
      </c>
    </row>
    <row r="668" spans="1:19" ht="13.5" x14ac:dyDescent="0.25">
      <c r="A668" t="s">
        <v>1502</v>
      </c>
      <c r="B668" t="s">
        <v>1503</v>
      </c>
      <c r="C668" t="str">
        <f t="shared" si="346"/>
        <v>Juan Elliott</v>
      </c>
      <c r="D668" t="s">
        <v>31</v>
      </c>
      <c r="E668" s="3" t="str">
        <f t="shared" si="332"/>
        <v>Male</v>
      </c>
      <c r="F668" s="5">
        <v>47</v>
      </c>
      <c r="G668" t="s">
        <v>62</v>
      </c>
      <c r="H668" t="s">
        <v>63</v>
      </c>
      <c r="I668" t="s">
        <v>286</v>
      </c>
      <c r="J668" s="5">
        <v>17</v>
      </c>
      <c r="K668" s="3" t="str" cm="1">
        <f t="array" ref="K668">_xlfn.IFS(J668&lt;=5, "0-5", J668&lt;=10, "6-10", J668&lt;=15, "11-15", J668&lt;=20, "16-20", J668&gt;20, "21+")</f>
        <v>16-20</v>
      </c>
      <c r="L668">
        <v>50</v>
      </c>
      <c r="M668" s="4">
        <f>L668</f>
        <v>50</v>
      </c>
      <c r="N668" s="4">
        <f t="shared" si="334"/>
        <v>50</v>
      </c>
      <c r="O668" s="5">
        <v>1.2</v>
      </c>
      <c r="P668" t="s">
        <v>64</v>
      </c>
      <c r="Q668" t="s">
        <v>54</v>
      </c>
      <c r="S668" s="7"/>
    </row>
    <row r="669" spans="1:19" ht="13.5" x14ac:dyDescent="0.25">
      <c r="A669" t="s">
        <v>161</v>
      </c>
      <c r="B669" t="s">
        <v>162</v>
      </c>
      <c r="C669" t="str">
        <f t="shared" si="346"/>
        <v>Elizabeth Phillips</v>
      </c>
      <c r="D669" t="s">
        <v>21</v>
      </c>
      <c r="E669" s="3" t="str">
        <f t="shared" si="332"/>
        <v>Female</v>
      </c>
      <c r="F669" s="5">
        <v>29</v>
      </c>
      <c r="G669" t="s">
        <v>44</v>
      </c>
      <c r="H669" t="s">
        <v>24</v>
      </c>
      <c r="I669" t="s">
        <v>25</v>
      </c>
      <c r="J669" s="5">
        <v>10</v>
      </c>
      <c r="K669" s="3" t="str" cm="1">
        <f t="array" ref="K669">_xlfn.IFS(J669&lt;=5, "0-5", J669&lt;=10, "6-10", J669&lt;=15, "11-15", J669&lt;=20, "16-20", J669&gt;20, "21+")</f>
        <v>6-10</v>
      </c>
      <c r="N669" s="4" t="str">
        <f t="shared" si="334"/>
        <v>NA</v>
      </c>
      <c r="O669" s="5">
        <v>4.4000000000000004</v>
      </c>
      <c r="P669" t="s">
        <v>57</v>
      </c>
      <c r="Q669" t="s">
        <v>28</v>
      </c>
      <c r="R669" s="1">
        <v>0.67</v>
      </c>
      <c r="S669" s="6">
        <f>R669</f>
        <v>0.67</v>
      </c>
    </row>
    <row r="670" spans="1:19" ht="13.5" x14ac:dyDescent="0.25">
      <c r="A670" t="s">
        <v>1504</v>
      </c>
      <c r="B670" t="s">
        <v>1505</v>
      </c>
      <c r="C670" t="str">
        <f t="shared" si="346"/>
        <v>Laura Evans</v>
      </c>
      <c r="D670" t="s">
        <v>22</v>
      </c>
      <c r="E670" s="3" t="str">
        <f t="shared" si="332"/>
        <v>Female</v>
      </c>
      <c r="F670" s="5">
        <v>30</v>
      </c>
      <c r="G670" t="s">
        <v>152</v>
      </c>
      <c r="H670" t="s">
        <v>39</v>
      </c>
      <c r="I670" t="s">
        <v>283</v>
      </c>
      <c r="J670" s="5">
        <v>8</v>
      </c>
      <c r="K670" s="3" t="str" cm="1">
        <f t="array" ref="K670">_xlfn.IFS(J670&lt;=5, "0-5", J670&lt;=10, "6-10", J670&lt;=15, "11-15", J670&lt;=20, "16-20", J670&gt;20, "21+")</f>
        <v>6-10</v>
      </c>
      <c r="L670">
        <v>100</v>
      </c>
      <c r="M670" s="4">
        <f>L670</f>
        <v>100</v>
      </c>
      <c r="N670" s="4">
        <f t="shared" si="334"/>
        <v>100</v>
      </c>
      <c r="O670" s="5">
        <v>1.4</v>
      </c>
      <c r="P670" t="s">
        <v>27</v>
      </c>
      <c r="Q670" t="s">
        <v>28</v>
      </c>
      <c r="R670">
        <v>62</v>
      </c>
      <c r="S670" s="6">
        <f>R670/100</f>
        <v>0.62</v>
      </c>
    </row>
    <row r="671" spans="1:19" ht="13.5" x14ac:dyDescent="0.25">
      <c r="A671" t="s">
        <v>1506</v>
      </c>
      <c r="B671" t="s">
        <v>1507</v>
      </c>
      <c r="C671" t="str">
        <f t="shared" si="346"/>
        <v>Amanda Mitchell</v>
      </c>
      <c r="D671" t="s">
        <v>21</v>
      </c>
      <c r="E671" s="3" t="str">
        <f t="shared" si="332"/>
        <v>Female</v>
      </c>
      <c r="F671" s="5">
        <v>25</v>
      </c>
      <c r="G671" t="s">
        <v>125</v>
      </c>
      <c r="H671" t="s">
        <v>39</v>
      </c>
      <c r="I671" t="s">
        <v>283</v>
      </c>
      <c r="J671" s="5">
        <v>1</v>
      </c>
      <c r="K671" s="3" t="str" cm="1">
        <f t="array" ref="K671">_xlfn.IFS(J671&lt;=5, "0-5", J671&lt;=10, "6-10", J671&lt;=15, "11-15", J671&lt;=20, "16-20", J671&gt;20, "21+")</f>
        <v>0-5</v>
      </c>
      <c r="L671" t="s">
        <v>72</v>
      </c>
      <c r="M671" s="4" t="str">
        <f t="shared" ref="M671" si="348">_xlfn.TEXTAFTER(L671, " ")</f>
        <v>30</v>
      </c>
      <c r="N671" s="4">
        <f t="shared" si="334"/>
        <v>30</v>
      </c>
      <c r="O671" s="5">
        <v>3.2</v>
      </c>
      <c r="P671">
        <v>0</v>
      </c>
      <c r="Q671" t="s">
        <v>54</v>
      </c>
      <c r="R671" s="1">
        <v>0.87</v>
      </c>
      <c r="S671" s="6">
        <f t="shared" ref="S671:S674" si="349">R671</f>
        <v>0.87</v>
      </c>
    </row>
    <row r="672" spans="1:19" ht="13.5" x14ac:dyDescent="0.25">
      <c r="A672" t="s">
        <v>1508</v>
      </c>
      <c r="B672" t="s">
        <v>1509</v>
      </c>
      <c r="C672" t="str">
        <f t="shared" si="346"/>
        <v>Sandra Williams</v>
      </c>
      <c r="D672" t="s">
        <v>304</v>
      </c>
      <c r="E672" s="3" t="str">
        <f t="shared" si="332"/>
        <v>Female</v>
      </c>
      <c r="F672" s="5">
        <v>28</v>
      </c>
      <c r="G672" t="s">
        <v>117</v>
      </c>
      <c r="H672" t="s">
        <v>118</v>
      </c>
      <c r="I672" t="s">
        <v>288</v>
      </c>
      <c r="J672" s="5">
        <v>10</v>
      </c>
      <c r="K672" s="3" t="str" cm="1">
        <f t="array" ref="K672">_xlfn.IFS(J672&lt;=5, "0-5", J672&lt;=10, "6-10", J672&lt;=15, "11-15", J672&lt;=20, "16-20", J672&gt;20, "21+")</f>
        <v>6-10</v>
      </c>
      <c r="N672" s="4" t="str">
        <f t="shared" si="334"/>
        <v>NA</v>
      </c>
      <c r="O672" s="5">
        <v>3.8</v>
      </c>
      <c r="P672" t="s">
        <v>27</v>
      </c>
      <c r="Q672" t="s">
        <v>28</v>
      </c>
      <c r="R672" s="1">
        <v>0.98</v>
      </c>
      <c r="S672" s="6">
        <f t="shared" si="349"/>
        <v>0.98</v>
      </c>
    </row>
    <row r="673" spans="1:19" ht="13.5" x14ac:dyDescent="0.25">
      <c r="A673" t="s">
        <v>1510</v>
      </c>
      <c r="B673" t="s">
        <v>1511</v>
      </c>
      <c r="C673" t="str">
        <f t="shared" si="346"/>
        <v>Eric Johnson</v>
      </c>
      <c r="D673" t="s">
        <v>31</v>
      </c>
      <c r="E673" s="3" t="str">
        <f t="shared" si="332"/>
        <v>Male</v>
      </c>
      <c r="F673" s="5">
        <v>29</v>
      </c>
      <c r="G673" t="s">
        <v>62</v>
      </c>
      <c r="H673" t="s">
        <v>63</v>
      </c>
      <c r="I673" t="s">
        <v>292</v>
      </c>
      <c r="J673" s="5">
        <v>0</v>
      </c>
      <c r="K673" s="3" t="str" cm="1">
        <f t="array" ref="K673">_xlfn.IFS(J673&lt;=5, "0-5", J673&lt;=10, "6-10", J673&lt;=15, "11-15", J673&lt;=20, "16-20", J673&gt;20, "21+")</f>
        <v>0-5</v>
      </c>
      <c r="L673" s="2">
        <v>75</v>
      </c>
      <c r="M673" s="4" t="str">
        <f>SUBSTITUTE(L673, "$","")</f>
        <v>75</v>
      </c>
      <c r="N673" s="4">
        <f t="shared" si="334"/>
        <v>75</v>
      </c>
      <c r="O673" s="5">
        <v>1.5</v>
      </c>
      <c r="P673" t="b">
        <v>1</v>
      </c>
      <c r="Q673" t="s">
        <v>28</v>
      </c>
      <c r="R673" s="1">
        <v>0.64</v>
      </c>
      <c r="S673" s="6">
        <f t="shared" si="349"/>
        <v>0.64</v>
      </c>
    </row>
    <row r="674" spans="1:19" ht="13.5" x14ac:dyDescent="0.25">
      <c r="A674" t="s">
        <v>1512</v>
      </c>
      <c r="B674" t="s">
        <v>1513</v>
      </c>
      <c r="C674" t="str">
        <f t="shared" si="346"/>
        <v>Javier Hobbs</v>
      </c>
      <c r="D674" t="s">
        <v>32</v>
      </c>
      <c r="E674" s="3" t="str">
        <f t="shared" si="332"/>
        <v>Male</v>
      </c>
      <c r="F674" s="5">
        <v>30</v>
      </c>
      <c r="G674" t="s">
        <v>84</v>
      </c>
      <c r="H674" t="s">
        <v>24</v>
      </c>
      <c r="I674" t="s">
        <v>287</v>
      </c>
      <c r="J674" s="5">
        <v>4</v>
      </c>
      <c r="K674" s="3" t="str" cm="1">
        <f t="array" ref="K674">_xlfn.IFS(J674&lt;=5, "0-5", J674&lt;=10, "6-10", J674&lt;=15, "11-15", J674&lt;=20, "16-20", J674&gt;20, "21+")</f>
        <v>0-5</v>
      </c>
      <c r="N674" s="4" t="str">
        <f t="shared" si="334"/>
        <v>NA</v>
      </c>
      <c r="O674" s="5">
        <v>2.8</v>
      </c>
      <c r="P674">
        <v>1</v>
      </c>
      <c r="Q674" t="s">
        <v>28</v>
      </c>
      <c r="R674" s="1">
        <v>0.71</v>
      </c>
      <c r="S674" s="6">
        <f t="shared" si="349"/>
        <v>0.71</v>
      </c>
    </row>
    <row r="675" spans="1:19" ht="13.5" x14ac:dyDescent="0.25">
      <c r="A675" t="s">
        <v>159</v>
      </c>
      <c r="B675" t="s">
        <v>160</v>
      </c>
      <c r="C675" t="str">
        <f t="shared" si="346"/>
        <v>Jacob Jones</v>
      </c>
      <c r="D675" t="s">
        <v>31</v>
      </c>
      <c r="E675" s="3" t="str">
        <f t="shared" si="332"/>
        <v>Male</v>
      </c>
      <c r="F675" s="5">
        <v>47</v>
      </c>
      <c r="G675" t="s">
        <v>117</v>
      </c>
      <c r="H675" t="s">
        <v>118</v>
      </c>
      <c r="I675" t="s">
        <v>25</v>
      </c>
      <c r="J675" s="5">
        <v>2</v>
      </c>
      <c r="K675" s="3" t="str" cm="1">
        <f t="array" ref="K675">_xlfn.IFS(J675&lt;=5, "0-5", J675&lt;=10, "6-10", J675&lt;=15, "11-15", J675&lt;=20, "16-20", J675&gt;20, "21+")</f>
        <v>0-5</v>
      </c>
      <c r="L675">
        <v>50</v>
      </c>
      <c r="M675" s="4">
        <f>L675</f>
        <v>50</v>
      </c>
      <c r="N675" s="4">
        <f t="shared" si="334"/>
        <v>50</v>
      </c>
      <c r="O675" s="5">
        <v>2.7</v>
      </c>
      <c r="P675" t="s">
        <v>81</v>
      </c>
      <c r="Q675" t="s">
        <v>54</v>
      </c>
      <c r="R675">
        <v>96</v>
      </c>
      <c r="S675" s="6">
        <f>R675/100</f>
        <v>0.96</v>
      </c>
    </row>
    <row r="676" spans="1:19" ht="13.5" x14ac:dyDescent="0.25">
      <c r="A676" t="s">
        <v>1514</v>
      </c>
      <c r="B676" t="s">
        <v>1515</v>
      </c>
      <c r="C676" t="str">
        <f t="shared" si="346"/>
        <v>Zachary Murphy</v>
      </c>
      <c r="D676" t="s">
        <v>311</v>
      </c>
      <c r="E676" s="3" t="str">
        <f t="shared" si="332"/>
        <v>Male</v>
      </c>
      <c r="F676" s="5">
        <v>34</v>
      </c>
      <c r="G676" t="s">
        <v>38</v>
      </c>
      <c r="H676" t="s">
        <v>39</v>
      </c>
      <c r="I676" t="s">
        <v>292</v>
      </c>
      <c r="J676" s="5">
        <v>10</v>
      </c>
      <c r="K676" s="3" t="str" cm="1">
        <f t="array" ref="K676">_xlfn.IFS(J676&lt;=5, "0-5", J676&lt;=10, "6-10", J676&lt;=15, "11-15", J676&lt;=20, "16-20", J676&gt;20, "21+")</f>
        <v>6-10</v>
      </c>
      <c r="L676" s="2">
        <v>30</v>
      </c>
      <c r="M676" s="4" t="str">
        <f>SUBSTITUTE(L676, "$","")</f>
        <v>30</v>
      </c>
      <c r="N676" s="4">
        <f t="shared" si="334"/>
        <v>30</v>
      </c>
      <c r="O676" s="5">
        <v>3.9</v>
      </c>
      <c r="S676" s="7"/>
    </row>
    <row r="677" spans="1:19" ht="13.5" x14ac:dyDescent="0.25">
      <c r="A677" t="s">
        <v>1516</v>
      </c>
      <c r="B677" t="s">
        <v>1517</v>
      </c>
      <c r="C677" t="str">
        <f t="shared" si="346"/>
        <v>Joshua Owens</v>
      </c>
      <c r="D677" t="s">
        <v>328</v>
      </c>
      <c r="E677" s="3" t="str">
        <f t="shared" si="332"/>
        <v>Male</v>
      </c>
      <c r="F677" s="5">
        <v>45</v>
      </c>
      <c r="G677" t="s">
        <v>183</v>
      </c>
      <c r="H677" t="s">
        <v>39</v>
      </c>
      <c r="I677" t="s">
        <v>287</v>
      </c>
      <c r="J677" s="5">
        <v>16</v>
      </c>
      <c r="K677" s="3" t="str" cm="1">
        <f t="array" ref="K677">_xlfn.IFS(J677&lt;=5, "0-5", J677&lt;=10, "6-10", J677&lt;=15, "11-15", J677&lt;=20, "16-20", J677&gt;20, "21+")</f>
        <v>16-20</v>
      </c>
      <c r="L677">
        <v>100</v>
      </c>
      <c r="M677" s="4">
        <f>L677</f>
        <v>100</v>
      </c>
      <c r="N677" s="4">
        <f t="shared" si="334"/>
        <v>100</v>
      </c>
      <c r="O677" s="5">
        <v>4.5999999999999996</v>
      </c>
      <c r="P677" t="s">
        <v>64</v>
      </c>
      <c r="Q677" t="s">
        <v>54</v>
      </c>
      <c r="R677" s="1">
        <v>0.78</v>
      </c>
      <c r="S677" s="6">
        <f t="shared" ref="S677:S679" si="350">R677</f>
        <v>0.78</v>
      </c>
    </row>
    <row r="678" spans="1:19" ht="13.5" x14ac:dyDescent="0.25">
      <c r="A678" t="s">
        <v>1518</v>
      </c>
      <c r="B678" t="s">
        <v>1519</v>
      </c>
      <c r="C678" t="str">
        <f t="shared" si="346"/>
        <v>Dawn Mitchell</v>
      </c>
      <c r="D678" t="s">
        <v>301</v>
      </c>
      <c r="E678" s="3" t="str">
        <f t="shared" si="332"/>
        <v>Female</v>
      </c>
      <c r="F678" s="5">
        <v>56</v>
      </c>
      <c r="G678" t="s">
        <v>84</v>
      </c>
      <c r="H678" t="s">
        <v>24</v>
      </c>
      <c r="I678" t="s">
        <v>288</v>
      </c>
      <c r="J678" s="5">
        <v>27</v>
      </c>
      <c r="K678" s="3" t="str" cm="1">
        <f t="array" ref="K678">_xlfn.IFS(J678&lt;=5, "0-5", J678&lt;=10, "6-10", J678&lt;=15, "11-15", J678&lt;=20, "16-20", J678&gt;20, "21+")</f>
        <v>21+</v>
      </c>
      <c r="L678" s="2">
        <v>20</v>
      </c>
      <c r="M678" s="4" t="str">
        <f>SUBSTITUTE(L678, "$","")</f>
        <v>20</v>
      </c>
      <c r="N678" s="4">
        <f t="shared" si="334"/>
        <v>20</v>
      </c>
      <c r="O678" s="5">
        <v>2.2000000000000002</v>
      </c>
      <c r="P678" t="b">
        <v>0</v>
      </c>
      <c r="Q678" t="s">
        <v>54</v>
      </c>
      <c r="R678" s="1">
        <v>0.7</v>
      </c>
      <c r="S678" s="6">
        <f t="shared" si="350"/>
        <v>0.7</v>
      </c>
    </row>
    <row r="679" spans="1:19" ht="13.5" x14ac:dyDescent="0.25">
      <c r="A679" t="s">
        <v>1520</v>
      </c>
      <c r="B679" t="s">
        <v>1521</v>
      </c>
      <c r="C679" t="str">
        <f t="shared" si="346"/>
        <v>Regina Dunn</v>
      </c>
      <c r="D679" t="s">
        <v>304</v>
      </c>
      <c r="E679" s="3" t="str">
        <f t="shared" si="332"/>
        <v>Female</v>
      </c>
      <c r="F679" s="5">
        <v>49</v>
      </c>
      <c r="G679" t="s">
        <v>165</v>
      </c>
      <c r="H679" t="s">
        <v>166</v>
      </c>
      <c r="I679" t="s">
        <v>283</v>
      </c>
      <c r="J679" s="5">
        <v>20</v>
      </c>
      <c r="K679" s="3" t="str" cm="1">
        <f t="array" ref="K679">_xlfn.IFS(J679&lt;=5, "0-5", J679&lt;=10, "6-10", J679&lt;=15, "11-15", J679&lt;=20, "16-20", J679&gt;20, "21+")</f>
        <v>16-20</v>
      </c>
      <c r="L679">
        <v>50</v>
      </c>
      <c r="M679" s="4">
        <f>L679</f>
        <v>50</v>
      </c>
      <c r="N679" s="4">
        <f t="shared" si="334"/>
        <v>50</v>
      </c>
      <c r="O679" s="5">
        <v>2.5</v>
      </c>
      <c r="P679">
        <v>0</v>
      </c>
      <c r="Q679" t="s">
        <v>54</v>
      </c>
      <c r="R679" s="1">
        <v>0.82</v>
      </c>
      <c r="S679" s="6">
        <f t="shared" si="350"/>
        <v>0.82</v>
      </c>
    </row>
    <row r="680" spans="1:19" ht="13.5" x14ac:dyDescent="0.25">
      <c r="A680" t="s">
        <v>157</v>
      </c>
      <c r="B680" t="s">
        <v>158</v>
      </c>
      <c r="C680" t="str">
        <f t="shared" si="346"/>
        <v>Ernest Cole</v>
      </c>
      <c r="D680" t="s">
        <v>311</v>
      </c>
      <c r="E680" s="3" t="str">
        <f t="shared" si="332"/>
        <v>Male</v>
      </c>
      <c r="F680" s="5">
        <v>48</v>
      </c>
      <c r="G680" t="s">
        <v>132</v>
      </c>
      <c r="H680" t="s">
        <v>133</v>
      </c>
      <c r="I680" t="s">
        <v>25</v>
      </c>
      <c r="J680" s="5">
        <v>10</v>
      </c>
      <c r="K680" s="3" t="str" cm="1">
        <f t="array" ref="K680">_xlfn.IFS(J680&lt;=5, "0-5", J680&lt;=10, "6-10", J680&lt;=15, "11-15", J680&lt;=20, "16-20", J680&gt;20, "21+")</f>
        <v>6-10</v>
      </c>
      <c r="N680" s="4" t="str">
        <f t="shared" si="334"/>
        <v>NA</v>
      </c>
      <c r="O680" s="5">
        <v>3.1</v>
      </c>
      <c r="P680" t="b">
        <v>0</v>
      </c>
      <c r="Q680" t="s">
        <v>54</v>
      </c>
      <c r="S680" s="7"/>
    </row>
    <row r="681" spans="1:19" ht="13.5" x14ac:dyDescent="0.25">
      <c r="A681" t="s">
        <v>1522</v>
      </c>
      <c r="B681" t="s">
        <v>1523</v>
      </c>
      <c r="C681" t="str">
        <f t="shared" si="346"/>
        <v>Hannah Sanders</v>
      </c>
      <c r="D681" t="s">
        <v>304</v>
      </c>
      <c r="E681" s="3" t="str">
        <f t="shared" si="332"/>
        <v>Female</v>
      </c>
      <c r="F681" s="5">
        <v>29</v>
      </c>
      <c r="G681" t="s">
        <v>62</v>
      </c>
      <c r="H681" t="s">
        <v>63</v>
      </c>
      <c r="I681" t="s">
        <v>287</v>
      </c>
      <c r="J681" s="5">
        <v>0</v>
      </c>
      <c r="K681" s="3" t="str" cm="1">
        <f t="array" ref="K681">_xlfn.IFS(J681&lt;=5, "0-5", J681&lt;=10, "6-10", J681&lt;=15, "11-15", J681&lt;=20, "16-20", J681&gt;20, "21+")</f>
        <v>0-5</v>
      </c>
      <c r="L681" s="2">
        <v>20</v>
      </c>
      <c r="M681" s="4" t="str">
        <f>SUBSTITUTE(L681, "$","")</f>
        <v>20</v>
      </c>
      <c r="N681" s="4">
        <f t="shared" si="334"/>
        <v>20</v>
      </c>
      <c r="P681">
        <v>1</v>
      </c>
      <c r="Q681" t="s">
        <v>28</v>
      </c>
      <c r="R681" s="1">
        <v>0.99</v>
      </c>
      <c r="S681" s="6">
        <f t="shared" ref="S681:S683" si="351">R681</f>
        <v>0.99</v>
      </c>
    </row>
    <row r="682" spans="1:19" ht="13.5" x14ac:dyDescent="0.25">
      <c r="A682" t="s">
        <v>1524</v>
      </c>
      <c r="B682" t="s">
        <v>1525</v>
      </c>
      <c r="C682" t="str">
        <f t="shared" si="346"/>
        <v>Ellen Bowman</v>
      </c>
      <c r="D682" t="s">
        <v>22</v>
      </c>
      <c r="E682" s="3" t="str">
        <f t="shared" si="332"/>
        <v>Female</v>
      </c>
      <c r="F682" s="5">
        <v>49</v>
      </c>
      <c r="G682" t="s">
        <v>52</v>
      </c>
      <c r="H682" t="s">
        <v>53</v>
      </c>
      <c r="I682" t="s">
        <v>290</v>
      </c>
      <c r="J682" s="5">
        <v>11</v>
      </c>
      <c r="K682" s="3" t="str" cm="1">
        <f t="array" ref="K682">_xlfn.IFS(J682&lt;=5, "0-5", J682&lt;=10, "6-10", J682&lt;=15, "11-15", J682&lt;=20, "16-20", J682&gt;20, "21+")</f>
        <v>11-15</v>
      </c>
      <c r="L682">
        <v>75</v>
      </c>
      <c r="M682" s="4">
        <f t="shared" ref="M682:M683" si="352">L682</f>
        <v>75</v>
      </c>
      <c r="N682" s="4">
        <f t="shared" si="334"/>
        <v>75</v>
      </c>
      <c r="O682" s="5">
        <v>3.8</v>
      </c>
      <c r="P682" t="s">
        <v>57</v>
      </c>
      <c r="Q682" t="s">
        <v>28</v>
      </c>
      <c r="R682" s="1">
        <v>0.93</v>
      </c>
      <c r="S682" s="6">
        <f t="shared" si="351"/>
        <v>0.93</v>
      </c>
    </row>
    <row r="683" spans="1:19" ht="13.5" x14ac:dyDescent="0.25">
      <c r="A683" t="s">
        <v>1526</v>
      </c>
      <c r="B683" t="s">
        <v>1527</v>
      </c>
      <c r="C683" t="str">
        <f t="shared" si="346"/>
        <v>Nancy Moore</v>
      </c>
      <c r="D683" t="s">
        <v>21</v>
      </c>
      <c r="E683" s="3" t="str">
        <f t="shared" si="332"/>
        <v>Female</v>
      </c>
      <c r="F683" s="5">
        <v>22</v>
      </c>
      <c r="G683" t="s">
        <v>165</v>
      </c>
      <c r="H683" t="s">
        <v>166</v>
      </c>
      <c r="I683" t="s">
        <v>292</v>
      </c>
      <c r="J683" s="5">
        <v>1</v>
      </c>
      <c r="K683" s="3" t="str" cm="1">
        <f t="array" ref="K683">_xlfn.IFS(J683&lt;=5, "0-5", J683&lt;=10, "6-10", J683&lt;=15, "11-15", J683&lt;=20, "16-20", J683&gt;20, "21+")</f>
        <v>0-5</v>
      </c>
      <c r="L683">
        <v>100</v>
      </c>
      <c r="M683" s="4">
        <f t="shared" si="352"/>
        <v>100</v>
      </c>
      <c r="N683" s="4">
        <f t="shared" si="334"/>
        <v>100</v>
      </c>
      <c r="O683" s="5">
        <v>4.8</v>
      </c>
      <c r="P683" t="s">
        <v>57</v>
      </c>
      <c r="Q683" t="s">
        <v>28</v>
      </c>
      <c r="R683" s="1">
        <v>0.75</v>
      </c>
      <c r="S683" s="6">
        <f t="shared" si="351"/>
        <v>0.75</v>
      </c>
    </row>
    <row r="684" spans="1:19" ht="13.5" x14ac:dyDescent="0.25">
      <c r="A684" t="s">
        <v>1528</v>
      </c>
      <c r="B684" t="s">
        <v>1529</v>
      </c>
      <c r="C684" t="str">
        <f t="shared" si="346"/>
        <v>Joseph Wood</v>
      </c>
      <c r="D684" t="s">
        <v>43</v>
      </c>
      <c r="E684" s="3" t="str">
        <f t="shared" si="332"/>
        <v>Male</v>
      </c>
      <c r="F684" s="5">
        <v>52</v>
      </c>
      <c r="G684" t="s">
        <v>44</v>
      </c>
      <c r="H684" t="s">
        <v>24</v>
      </c>
      <c r="I684" t="s">
        <v>287</v>
      </c>
      <c r="J684" s="5">
        <v>30</v>
      </c>
      <c r="K684" s="3" t="str" cm="1">
        <f t="array" ref="K684">_xlfn.IFS(J684&lt;=5, "0-5", J684&lt;=10, "6-10", J684&lt;=15, "11-15", J684&lt;=20, "16-20", J684&gt;20, "21+")</f>
        <v>21+</v>
      </c>
      <c r="L684" t="s">
        <v>40</v>
      </c>
      <c r="M684" s="4" t="str">
        <f t="shared" ref="M684:M685" si="353">_xlfn.TEXTAFTER(L684, " ")</f>
        <v>100</v>
      </c>
      <c r="N684" s="4">
        <f t="shared" si="334"/>
        <v>100</v>
      </c>
      <c r="O684" s="5">
        <v>2.5</v>
      </c>
      <c r="R684">
        <v>61</v>
      </c>
      <c r="S684" s="6">
        <f>R684/100</f>
        <v>0.61</v>
      </c>
    </row>
    <row r="685" spans="1:19" ht="13.5" x14ac:dyDescent="0.25">
      <c r="A685" t="s">
        <v>1530</v>
      </c>
      <c r="B685" t="s">
        <v>1531</v>
      </c>
      <c r="C685" t="str">
        <f t="shared" si="346"/>
        <v>Michael Harrell</v>
      </c>
      <c r="D685" t="s">
        <v>311</v>
      </c>
      <c r="E685" s="3" t="str">
        <f t="shared" si="332"/>
        <v>Male</v>
      </c>
      <c r="F685" s="5">
        <v>60</v>
      </c>
      <c r="G685" t="s">
        <v>125</v>
      </c>
      <c r="H685" t="s">
        <v>39</v>
      </c>
      <c r="I685" t="s">
        <v>292</v>
      </c>
      <c r="J685" s="5">
        <v>7</v>
      </c>
      <c r="K685" s="3" t="str" cm="1">
        <f t="array" ref="K685">_xlfn.IFS(J685&lt;=5, "0-5", J685&lt;=10, "6-10", J685&lt;=15, "11-15", J685&lt;=20, "16-20", J685&gt;20, "21+")</f>
        <v>6-10</v>
      </c>
      <c r="L685" t="s">
        <v>72</v>
      </c>
      <c r="M685" s="4" t="str">
        <f t="shared" si="353"/>
        <v>30</v>
      </c>
      <c r="N685" s="4">
        <f t="shared" si="334"/>
        <v>30</v>
      </c>
      <c r="O685" s="5">
        <v>0</v>
      </c>
      <c r="P685" t="s">
        <v>81</v>
      </c>
      <c r="Q685" t="s">
        <v>54</v>
      </c>
      <c r="R685" s="1">
        <v>0.97</v>
      </c>
      <c r="S685" s="6">
        <f>R685</f>
        <v>0.97</v>
      </c>
    </row>
    <row r="686" spans="1:19" ht="13.5" x14ac:dyDescent="0.25">
      <c r="A686" t="s">
        <v>1532</v>
      </c>
      <c r="B686" t="s">
        <v>1533</v>
      </c>
      <c r="C686" t="str">
        <f t="shared" si="346"/>
        <v>Connie Mcclain</v>
      </c>
      <c r="D686" t="s">
        <v>301</v>
      </c>
      <c r="E686" s="3" t="str">
        <f t="shared" si="332"/>
        <v>Female</v>
      </c>
      <c r="F686" s="5">
        <v>33</v>
      </c>
      <c r="G686" t="s">
        <v>88</v>
      </c>
      <c r="H686" t="s">
        <v>89</v>
      </c>
      <c r="I686" t="s">
        <v>286</v>
      </c>
      <c r="J686" s="5">
        <v>0</v>
      </c>
      <c r="K686" s="3" t="str" cm="1">
        <f t="array" ref="K686">_xlfn.IFS(J686&lt;=5, "0-5", J686&lt;=10, "6-10", J686&lt;=15, "11-15", J686&lt;=20, "16-20", J686&gt;20, "21+")</f>
        <v>0-5</v>
      </c>
      <c r="L686" s="2">
        <v>100</v>
      </c>
      <c r="M686" s="4" t="str">
        <f>SUBSTITUTE(L686, "$","")</f>
        <v>100</v>
      </c>
      <c r="N686" s="4">
        <f t="shared" si="334"/>
        <v>100</v>
      </c>
      <c r="O686" s="5">
        <v>1.7</v>
      </c>
      <c r="P686">
        <v>1</v>
      </c>
      <c r="Q686" t="s">
        <v>28</v>
      </c>
      <c r="R686">
        <v>95</v>
      </c>
      <c r="S686" s="6">
        <f>R686/100</f>
        <v>0.95</v>
      </c>
    </row>
    <row r="687" spans="1:19" ht="13.5" x14ac:dyDescent="0.25">
      <c r="A687" t="s">
        <v>1534</v>
      </c>
      <c r="B687" t="s">
        <v>1535</v>
      </c>
      <c r="C687" t="str">
        <f t="shared" si="346"/>
        <v>Matthew Baldwin</v>
      </c>
      <c r="D687" t="s">
        <v>328</v>
      </c>
      <c r="E687" s="3" t="str">
        <f t="shared" si="332"/>
        <v>Male</v>
      </c>
      <c r="F687" s="5">
        <v>52</v>
      </c>
      <c r="G687" t="s">
        <v>62</v>
      </c>
      <c r="H687" t="s">
        <v>63</v>
      </c>
      <c r="I687" t="s">
        <v>287</v>
      </c>
      <c r="J687" s="5">
        <v>21</v>
      </c>
      <c r="K687" s="3" t="str" cm="1">
        <f t="array" ref="K687">_xlfn.IFS(J687&lt;=5, "0-5", J687&lt;=10, "6-10", J687&lt;=15, "11-15", J687&lt;=20, "16-20", J687&gt;20, "21+")</f>
        <v>21+</v>
      </c>
      <c r="L687" t="s">
        <v>99</v>
      </c>
      <c r="M687" s="4" t="str">
        <f t="shared" ref="M687:M689" si="354">_xlfn.TEXTAFTER(L687, " ")</f>
        <v>40</v>
      </c>
      <c r="N687" s="4">
        <f t="shared" si="334"/>
        <v>40</v>
      </c>
      <c r="O687" s="5">
        <v>4</v>
      </c>
      <c r="R687" s="1">
        <v>0.69</v>
      </c>
      <c r="S687" s="6">
        <f t="shared" ref="S687:S690" si="355">R687</f>
        <v>0.69</v>
      </c>
    </row>
    <row r="688" spans="1:19" ht="13.5" x14ac:dyDescent="0.25">
      <c r="A688" t="s">
        <v>1536</v>
      </c>
      <c r="B688" t="s">
        <v>1537</v>
      </c>
      <c r="C688" t="str">
        <f t="shared" si="346"/>
        <v>Danielle Nelson</v>
      </c>
      <c r="D688" t="s">
        <v>37</v>
      </c>
      <c r="E688" s="3" t="str">
        <f t="shared" si="332"/>
        <v>Female</v>
      </c>
      <c r="F688" s="5">
        <v>25</v>
      </c>
      <c r="G688" t="s">
        <v>33</v>
      </c>
      <c r="H688" t="s">
        <v>34</v>
      </c>
      <c r="I688" t="s">
        <v>283</v>
      </c>
      <c r="J688" s="5">
        <v>7</v>
      </c>
      <c r="K688" s="3" t="str" cm="1">
        <f t="array" ref="K688">_xlfn.IFS(J688&lt;=5, "0-5", J688&lt;=10, "6-10", J688&lt;=15, "11-15", J688&lt;=20, "16-20", J688&gt;20, "21+")</f>
        <v>6-10</v>
      </c>
      <c r="L688" t="s">
        <v>40</v>
      </c>
      <c r="M688" s="4" t="str">
        <f t="shared" si="354"/>
        <v>100</v>
      </c>
      <c r="N688" s="4">
        <f t="shared" si="334"/>
        <v>100</v>
      </c>
      <c r="O688" s="5">
        <v>1.9</v>
      </c>
      <c r="P688" t="b">
        <v>0</v>
      </c>
      <c r="Q688" t="s">
        <v>54</v>
      </c>
      <c r="R688" s="1">
        <v>0.63</v>
      </c>
      <c r="S688" s="6">
        <f t="shared" si="355"/>
        <v>0.63</v>
      </c>
    </row>
    <row r="689" spans="1:19" ht="13.5" x14ac:dyDescent="0.25">
      <c r="A689" t="s">
        <v>1538</v>
      </c>
      <c r="B689" t="s">
        <v>1539</v>
      </c>
      <c r="C689" t="str">
        <f t="shared" si="346"/>
        <v>Steven Moore</v>
      </c>
      <c r="D689" t="s">
        <v>328</v>
      </c>
      <c r="E689" s="3" t="str">
        <f t="shared" si="332"/>
        <v>Male</v>
      </c>
      <c r="F689" s="5">
        <v>33</v>
      </c>
      <c r="G689" t="s">
        <v>88</v>
      </c>
      <c r="H689" t="s">
        <v>89</v>
      </c>
      <c r="I689" t="s">
        <v>288</v>
      </c>
      <c r="K689" s="3" t="str" cm="1">
        <f t="array" ref="K689">_xlfn.IFS(J689&lt;=5, "0-5", J689&lt;=10, "6-10", J689&lt;=15, "11-15", J689&lt;=20, "16-20", J689&gt;20, "21+")</f>
        <v>0-5</v>
      </c>
      <c r="L689" t="s">
        <v>72</v>
      </c>
      <c r="M689" s="4" t="str">
        <f t="shared" si="354"/>
        <v>30</v>
      </c>
      <c r="N689" s="4">
        <f t="shared" si="334"/>
        <v>30</v>
      </c>
      <c r="O689" s="5">
        <v>4.4000000000000004</v>
      </c>
      <c r="P689" t="b">
        <v>1</v>
      </c>
      <c r="Q689" t="s">
        <v>28</v>
      </c>
      <c r="R689" s="1">
        <v>0.65</v>
      </c>
      <c r="S689" s="6">
        <f t="shared" si="355"/>
        <v>0.65</v>
      </c>
    </row>
    <row r="690" spans="1:19" ht="13.5" x14ac:dyDescent="0.25">
      <c r="A690" t="s">
        <v>1540</v>
      </c>
      <c r="B690" t="s">
        <v>1541</v>
      </c>
      <c r="C690" t="str">
        <f t="shared" si="346"/>
        <v>Megan Hudson</v>
      </c>
      <c r="D690" t="s">
        <v>37</v>
      </c>
      <c r="E690" s="3" t="str">
        <f t="shared" si="332"/>
        <v>Female</v>
      </c>
      <c r="F690" s="5">
        <v>33</v>
      </c>
      <c r="G690" t="s">
        <v>165</v>
      </c>
      <c r="H690" t="s">
        <v>166</v>
      </c>
      <c r="I690" t="s">
        <v>285</v>
      </c>
      <c r="K690" s="3" t="str" cm="1">
        <f t="array" ref="K690">_xlfn.IFS(J690&lt;=5, "0-5", J690&lt;=10, "6-10", J690&lt;=15, "11-15", J690&lt;=20, "16-20", J690&gt;20, "21+")</f>
        <v>0-5</v>
      </c>
      <c r="N690" s="4" t="str">
        <f t="shared" si="334"/>
        <v>NA</v>
      </c>
      <c r="O690" s="5">
        <v>4.2</v>
      </c>
      <c r="P690" t="s">
        <v>57</v>
      </c>
      <c r="Q690" t="s">
        <v>28</v>
      </c>
      <c r="R690" s="1">
        <v>0.9</v>
      </c>
      <c r="S690" s="6">
        <f t="shared" si="355"/>
        <v>0.9</v>
      </c>
    </row>
    <row r="691" spans="1:19" ht="13.5" x14ac:dyDescent="0.25">
      <c r="A691" t="s">
        <v>1542</v>
      </c>
      <c r="B691" t="s">
        <v>51</v>
      </c>
      <c r="C691" t="str">
        <f t="shared" si="346"/>
        <v>Lisa Johnson</v>
      </c>
      <c r="D691" t="s">
        <v>22</v>
      </c>
      <c r="E691" s="3" t="str">
        <f t="shared" si="332"/>
        <v>Female</v>
      </c>
      <c r="F691" s="5">
        <v>52</v>
      </c>
      <c r="G691" t="s">
        <v>125</v>
      </c>
      <c r="H691" t="s">
        <v>39</v>
      </c>
      <c r="I691" t="s">
        <v>286</v>
      </c>
      <c r="J691" s="5">
        <v>25</v>
      </c>
      <c r="K691" s="3" t="str" cm="1">
        <f t="array" ref="K691">_xlfn.IFS(J691&lt;=5, "0-5", J691&lt;=10, "6-10", J691&lt;=15, "11-15", J691&lt;=20, "16-20", J691&gt;20, "21+")</f>
        <v>21+</v>
      </c>
      <c r="L691">
        <v>100</v>
      </c>
      <c r="M691" s="4">
        <f>L691</f>
        <v>100</v>
      </c>
      <c r="N691" s="4">
        <f t="shared" si="334"/>
        <v>100</v>
      </c>
      <c r="O691" s="5">
        <v>4.8</v>
      </c>
      <c r="P691" t="s">
        <v>64</v>
      </c>
      <c r="Q691" t="s">
        <v>54</v>
      </c>
      <c r="S691" s="7"/>
    </row>
    <row r="692" spans="1:19" ht="13.5" x14ac:dyDescent="0.25">
      <c r="A692" t="s">
        <v>1543</v>
      </c>
      <c r="B692" t="s">
        <v>1544</v>
      </c>
      <c r="C692" t="str">
        <f t="shared" si="346"/>
        <v>Tracy White</v>
      </c>
      <c r="D692" t="s">
        <v>37</v>
      </c>
      <c r="E692" s="3" t="str">
        <f t="shared" si="332"/>
        <v>Female</v>
      </c>
      <c r="F692" s="5">
        <v>20</v>
      </c>
      <c r="G692" t="s">
        <v>104</v>
      </c>
      <c r="H692" t="s">
        <v>105</v>
      </c>
      <c r="I692" t="s">
        <v>290</v>
      </c>
      <c r="J692" s="5">
        <v>1</v>
      </c>
      <c r="K692" s="3" t="str" cm="1">
        <f t="array" ref="K692">_xlfn.IFS(J692&lt;=5, "0-5", J692&lt;=10, "6-10", J692&lt;=15, "11-15", J692&lt;=20, "16-20", J692&gt;20, "21+")</f>
        <v>0-5</v>
      </c>
      <c r="L692" t="s">
        <v>72</v>
      </c>
      <c r="M692" s="4" t="str">
        <f t="shared" ref="M692:M693" si="356">_xlfn.TEXTAFTER(L692, " ")</f>
        <v>30</v>
      </c>
      <c r="N692" s="4">
        <f t="shared" si="334"/>
        <v>30</v>
      </c>
      <c r="O692" s="5">
        <v>2</v>
      </c>
      <c r="P692" t="s">
        <v>81</v>
      </c>
      <c r="Q692" t="s">
        <v>54</v>
      </c>
      <c r="R692" s="1">
        <v>0.89</v>
      </c>
      <c r="S692" s="6">
        <f t="shared" ref="S692:S694" si="357">R692</f>
        <v>0.89</v>
      </c>
    </row>
    <row r="693" spans="1:19" ht="13.5" x14ac:dyDescent="0.25">
      <c r="A693" t="s">
        <v>1545</v>
      </c>
      <c r="B693" t="s">
        <v>1546</v>
      </c>
      <c r="C693" t="str">
        <f t="shared" si="346"/>
        <v>Natalie Diaz</v>
      </c>
      <c r="D693" t="s">
        <v>21</v>
      </c>
      <c r="E693" s="3" t="str">
        <f t="shared" si="332"/>
        <v>Female</v>
      </c>
      <c r="F693" s="5">
        <v>43</v>
      </c>
      <c r="G693" t="s">
        <v>95</v>
      </c>
      <c r="H693" t="s">
        <v>96</v>
      </c>
      <c r="I693" t="s">
        <v>291</v>
      </c>
      <c r="J693" s="5">
        <v>7</v>
      </c>
      <c r="K693" s="3" t="str" cm="1">
        <f t="array" ref="K693">_xlfn.IFS(J693&lt;=5, "0-5", J693&lt;=10, "6-10", J693&lt;=15, "11-15", J693&lt;=20, "16-20", J693&gt;20, "21+")</f>
        <v>6-10</v>
      </c>
      <c r="L693" t="s">
        <v>112</v>
      </c>
      <c r="M693" s="4" t="str">
        <f t="shared" si="356"/>
        <v>50</v>
      </c>
      <c r="N693" s="4">
        <f t="shared" si="334"/>
        <v>50</v>
      </c>
      <c r="P693">
        <v>1</v>
      </c>
      <c r="Q693" t="s">
        <v>28</v>
      </c>
      <c r="R693" s="1">
        <v>0.8</v>
      </c>
      <c r="S693" s="6">
        <f t="shared" si="357"/>
        <v>0.8</v>
      </c>
    </row>
    <row r="694" spans="1:19" ht="13.5" x14ac:dyDescent="0.25">
      <c r="A694" t="s">
        <v>1547</v>
      </c>
      <c r="B694" t="s">
        <v>1507</v>
      </c>
      <c r="C694" t="str">
        <f t="shared" si="346"/>
        <v>Amanda Mitchell</v>
      </c>
      <c r="D694" t="s">
        <v>304</v>
      </c>
      <c r="E694" s="3" t="str">
        <f t="shared" si="332"/>
        <v>Female</v>
      </c>
      <c r="F694" s="5">
        <v>31</v>
      </c>
      <c r="G694" t="s">
        <v>132</v>
      </c>
      <c r="H694" t="s">
        <v>133</v>
      </c>
      <c r="I694" t="s">
        <v>285</v>
      </c>
      <c r="K694" s="3" t="str" cm="1">
        <f t="array" ref="K694">_xlfn.IFS(J694&lt;=5, "0-5", J694&lt;=10, "6-10", J694&lt;=15, "11-15", J694&lt;=20, "16-20", J694&gt;20, "21+")</f>
        <v>0-5</v>
      </c>
      <c r="L694">
        <v>50</v>
      </c>
      <c r="M694" s="4">
        <f t="shared" ref="M694:M695" si="358">L694</f>
        <v>50</v>
      </c>
      <c r="N694" s="4">
        <f t="shared" si="334"/>
        <v>50</v>
      </c>
      <c r="O694" s="5">
        <v>1.4</v>
      </c>
      <c r="P694" t="s">
        <v>81</v>
      </c>
      <c r="Q694" t="s">
        <v>54</v>
      </c>
      <c r="R694" s="1">
        <v>0.8</v>
      </c>
      <c r="S694" s="6">
        <f t="shared" si="357"/>
        <v>0.8</v>
      </c>
    </row>
    <row r="695" spans="1:19" ht="13.5" x14ac:dyDescent="0.25">
      <c r="A695" t="s">
        <v>1548</v>
      </c>
      <c r="B695" t="s">
        <v>1549</v>
      </c>
      <c r="C695" t="str">
        <f t="shared" si="346"/>
        <v>Karen Scott</v>
      </c>
      <c r="D695" t="s">
        <v>21</v>
      </c>
      <c r="E695" s="3" t="str">
        <f t="shared" si="332"/>
        <v>Female</v>
      </c>
      <c r="F695" s="5">
        <v>29</v>
      </c>
      <c r="G695" t="s">
        <v>33</v>
      </c>
      <c r="H695" t="s">
        <v>34</v>
      </c>
      <c r="I695" t="s">
        <v>291</v>
      </c>
      <c r="J695" s="5">
        <v>6</v>
      </c>
      <c r="K695" s="3" t="str" cm="1">
        <f t="array" ref="K695">_xlfn.IFS(J695&lt;=5, "0-5", J695&lt;=10, "6-10", J695&lt;=15, "11-15", J695&lt;=20, "16-20", J695&gt;20, "21+")</f>
        <v>6-10</v>
      </c>
      <c r="L695">
        <v>100</v>
      </c>
      <c r="M695" s="4">
        <f t="shared" si="358"/>
        <v>100</v>
      </c>
      <c r="N695" s="4">
        <f t="shared" si="334"/>
        <v>100</v>
      </c>
      <c r="O695" s="5">
        <v>1.8</v>
      </c>
      <c r="P695" t="s">
        <v>64</v>
      </c>
      <c r="Q695" t="s">
        <v>54</v>
      </c>
      <c r="S695" s="7"/>
    </row>
    <row r="696" spans="1:19" ht="13.5" x14ac:dyDescent="0.25">
      <c r="A696" t="s">
        <v>1550</v>
      </c>
      <c r="B696" t="s">
        <v>991</v>
      </c>
      <c r="C696" t="str">
        <f t="shared" si="346"/>
        <v>Mary Brown</v>
      </c>
      <c r="D696" t="s">
        <v>21</v>
      </c>
      <c r="E696" s="3" t="str">
        <f t="shared" si="332"/>
        <v>Female</v>
      </c>
      <c r="F696" s="5">
        <v>53</v>
      </c>
      <c r="G696" t="s">
        <v>177</v>
      </c>
      <c r="H696" t="s">
        <v>178</v>
      </c>
      <c r="I696" t="s">
        <v>287</v>
      </c>
      <c r="J696" s="5">
        <v>35</v>
      </c>
      <c r="K696" s="3" t="str" cm="1">
        <f t="array" ref="K696">_xlfn.IFS(J696&lt;=5, "0-5", J696&lt;=10, "6-10", J696&lt;=15, "11-15", J696&lt;=20, "16-20", J696&gt;20, "21+")</f>
        <v>21+</v>
      </c>
      <c r="N696" s="4" t="str">
        <f t="shared" si="334"/>
        <v>NA</v>
      </c>
      <c r="O696" s="5">
        <v>0</v>
      </c>
      <c r="P696">
        <v>1</v>
      </c>
      <c r="Q696" t="s">
        <v>28</v>
      </c>
      <c r="R696" s="1">
        <v>0.67</v>
      </c>
      <c r="S696" s="6">
        <f t="shared" ref="S696:S702" si="359">R696</f>
        <v>0.67</v>
      </c>
    </row>
    <row r="697" spans="1:19" ht="13.5" x14ac:dyDescent="0.25">
      <c r="A697" t="s">
        <v>1551</v>
      </c>
      <c r="B697" t="s">
        <v>1552</v>
      </c>
      <c r="C697" t="str">
        <f t="shared" si="346"/>
        <v>Jon Jones</v>
      </c>
      <c r="D697" t="s">
        <v>31</v>
      </c>
      <c r="E697" s="3" t="str">
        <f t="shared" si="332"/>
        <v>Male</v>
      </c>
      <c r="F697" s="5">
        <v>38</v>
      </c>
      <c r="G697" t="s">
        <v>146</v>
      </c>
      <c r="H697" t="s">
        <v>147</v>
      </c>
      <c r="I697" t="s">
        <v>285</v>
      </c>
      <c r="J697" s="5">
        <v>1</v>
      </c>
      <c r="K697" s="3" t="str" cm="1">
        <f t="array" ref="K697">_xlfn.IFS(J697&lt;=5, "0-5", J697&lt;=10, "6-10", J697&lt;=15, "11-15", J697&lt;=20, "16-20", J697&gt;20, "21+")</f>
        <v>0-5</v>
      </c>
      <c r="L697" t="s">
        <v>99</v>
      </c>
      <c r="M697" s="4" t="str">
        <f t="shared" ref="M697" si="360">_xlfn.TEXTAFTER(L697, " ")</f>
        <v>40</v>
      </c>
      <c r="N697" s="4">
        <f t="shared" si="334"/>
        <v>40</v>
      </c>
      <c r="O697" s="5">
        <v>0</v>
      </c>
      <c r="P697">
        <v>0</v>
      </c>
      <c r="Q697" t="s">
        <v>54</v>
      </c>
      <c r="R697" s="1">
        <v>0.96</v>
      </c>
      <c r="S697" s="6">
        <f t="shared" si="359"/>
        <v>0.96</v>
      </c>
    </row>
    <row r="698" spans="1:19" ht="13.5" x14ac:dyDescent="0.25">
      <c r="A698" t="s">
        <v>1553</v>
      </c>
      <c r="B698" t="s">
        <v>1554</v>
      </c>
      <c r="C698" t="str">
        <f t="shared" si="346"/>
        <v>Jason Phillips</v>
      </c>
      <c r="D698" t="s">
        <v>32</v>
      </c>
      <c r="E698" s="3" t="str">
        <f t="shared" si="332"/>
        <v>Male</v>
      </c>
      <c r="F698" s="5">
        <v>29</v>
      </c>
      <c r="G698" t="s">
        <v>84</v>
      </c>
      <c r="H698" t="s">
        <v>24</v>
      </c>
      <c r="I698" t="s">
        <v>287</v>
      </c>
      <c r="K698" s="3" t="str" cm="1">
        <f t="array" ref="K698">_xlfn.IFS(J698&lt;=5, "0-5", J698&lt;=10, "6-10", J698&lt;=15, "11-15", J698&lt;=20, "16-20", J698&gt;20, "21+")</f>
        <v>0-5</v>
      </c>
      <c r="L698">
        <v>20</v>
      </c>
      <c r="M698" s="4">
        <f>L698</f>
        <v>20</v>
      </c>
      <c r="N698" s="4">
        <f t="shared" si="334"/>
        <v>20</v>
      </c>
      <c r="O698" s="5">
        <v>0</v>
      </c>
      <c r="P698">
        <v>0</v>
      </c>
      <c r="Q698" t="s">
        <v>54</v>
      </c>
      <c r="R698" s="1">
        <v>0.9</v>
      </c>
      <c r="S698" s="6">
        <f t="shared" si="359"/>
        <v>0.9</v>
      </c>
    </row>
    <row r="699" spans="1:19" ht="13.5" x14ac:dyDescent="0.25">
      <c r="A699" t="s">
        <v>1555</v>
      </c>
      <c r="B699" t="s">
        <v>1556</v>
      </c>
      <c r="C699" t="str">
        <f t="shared" si="346"/>
        <v>Eric Walsh</v>
      </c>
      <c r="D699" t="s">
        <v>328</v>
      </c>
      <c r="E699" s="3" t="str">
        <f t="shared" si="332"/>
        <v>Male</v>
      </c>
      <c r="F699" s="5">
        <v>42</v>
      </c>
      <c r="G699" t="s">
        <v>62</v>
      </c>
      <c r="H699" t="s">
        <v>63</v>
      </c>
      <c r="I699" t="s">
        <v>286</v>
      </c>
      <c r="J699" s="5">
        <v>0</v>
      </c>
      <c r="K699" s="3" t="str" cm="1">
        <f t="array" ref="K699">_xlfn.IFS(J699&lt;=5, "0-5", J699&lt;=10, "6-10", J699&lt;=15, "11-15", J699&lt;=20, "16-20", J699&gt;20, "21+")</f>
        <v>0-5</v>
      </c>
      <c r="N699" s="4" t="str">
        <f t="shared" si="334"/>
        <v>NA</v>
      </c>
      <c r="O699" s="5">
        <v>3.9</v>
      </c>
      <c r="P699" t="b">
        <v>0</v>
      </c>
      <c r="Q699" t="s">
        <v>54</v>
      </c>
      <c r="R699" s="1">
        <v>0.62</v>
      </c>
      <c r="S699" s="6">
        <f t="shared" si="359"/>
        <v>0.62</v>
      </c>
    </row>
    <row r="700" spans="1:19" ht="13.5" x14ac:dyDescent="0.25">
      <c r="A700" t="s">
        <v>1557</v>
      </c>
      <c r="B700" t="s">
        <v>1558</v>
      </c>
      <c r="C700" t="str">
        <f t="shared" si="346"/>
        <v>Carol Schneider</v>
      </c>
      <c r="D700" t="s">
        <v>37</v>
      </c>
      <c r="E700" s="3" t="str">
        <f t="shared" si="332"/>
        <v>Female</v>
      </c>
      <c r="F700" s="5">
        <v>54</v>
      </c>
      <c r="G700" t="s">
        <v>183</v>
      </c>
      <c r="H700" t="s">
        <v>39</v>
      </c>
      <c r="I700" t="s">
        <v>284</v>
      </c>
      <c r="J700" s="5">
        <v>9</v>
      </c>
      <c r="K700" s="3" t="str" cm="1">
        <f t="array" ref="K700">_xlfn.IFS(J700&lt;=5, "0-5", J700&lt;=10, "6-10", J700&lt;=15, "11-15", J700&lt;=20, "16-20", J700&gt;20, "21+")</f>
        <v>6-10</v>
      </c>
      <c r="L700">
        <v>100</v>
      </c>
      <c r="M700" s="4">
        <f>L700</f>
        <v>100</v>
      </c>
      <c r="N700" s="4">
        <f t="shared" si="334"/>
        <v>100</v>
      </c>
      <c r="P700" t="s">
        <v>64</v>
      </c>
      <c r="Q700" t="s">
        <v>54</v>
      </c>
      <c r="R700" s="1">
        <v>0.72</v>
      </c>
      <c r="S700" s="6">
        <f t="shared" si="359"/>
        <v>0.72</v>
      </c>
    </row>
    <row r="701" spans="1:19" ht="13.5" x14ac:dyDescent="0.25">
      <c r="A701" t="s">
        <v>1559</v>
      </c>
      <c r="B701" t="s">
        <v>1560</v>
      </c>
      <c r="C701" t="str">
        <f t="shared" si="346"/>
        <v>Juan Hines</v>
      </c>
      <c r="D701" t="s">
        <v>311</v>
      </c>
      <c r="E701" s="3" t="str">
        <f t="shared" si="332"/>
        <v>Male</v>
      </c>
      <c r="F701" s="5">
        <v>56</v>
      </c>
      <c r="G701" t="s">
        <v>165</v>
      </c>
      <c r="H701" t="s">
        <v>166</v>
      </c>
      <c r="I701" t="s">
        <v>286</v>
      </c>
      <c r="J701" s="5">
        <v>18</v>
      </c>
      <c r="K701" s="3" t="str" cm="1">
        <f t="array" ref="K701">_xlfn.IFS(J701&lt;=5, "0-5", J701&lt;=10, "6-10", J701&lt;=15, "11-15", J701&lt;=20, "16-20", J701&gt;20, "21+")</f>
        <v>16-20</v>
      </c>
      <c r="L701" t="s">
        <v>112</v>
      </c>
      <c r="M701" s="4" t="str">
        <f t="shared" ref="M701" si="361">_xlfn.TEXTAFTER(L701, " ")</f>
        <v>50</v>
      </c>
      <c r="N701" s="4">
        <f t="shared" si="334"/>
        <v>50</v>
      </c>
      <c r="O701" s="5">
        <v>4.4000000000000004</v>
      </c>
      <c r="P701" t="s">
        <v>57</v>
      </c>
      <c r="Q701" t="s">
        <v>28</v>
      </c>
      <c r="R701" s="1">
        <v>0.83</v>
      </c>
      <c r="S701" s="6">
        <f t="shared" si="359"/>
        <v>0.83</v>
      </c>
    </row>
    <row r="702" spans="1:19" ht="13.5" x14ac:dyDescent="0.25">
      <c r="A702" t="s">
        <v>1561</v>
      </c>
      <c r="B702" t="s">
        <v>1562</v>
      </c>
      <c r="C702" t="str">
        <f t="shared" si="346"/>
        <v>Martha Sweeney</v>
      </c>
      <c r="D702" t="s">
        <v>37</v>
      </c>
      <c r="E702" s="3" t="str">
        <f t="shared" si="332"/>
        <v>Female</v>
      </c>
      <c r="F702" s="5">
        <v>47</v>
      </c>
      <c r="G702" t="s">
        <v>67</v>
      </c>
      <c r="H702" t="s">
        <v>68</v>
      </c>
      <c r="I702" t="s">
        <v>287</v>
      </c>
      <c r="J702" s="5">
        <v>22</v>
      </c>
      <c r="K702" s="3" t="str" cm="1">
        <f t="array" ref="K702">_xlfn.IFS(J702&lt;=5, "0-5", J702&lt;=10, "6-10", J702&lt;=15, "11-15", J702&lt;=20, "16-20", J702&gt;20, "21+")</f>
        <v>21+</v>
      </c>
      <c r="L702">
        <v>100</v>
      </c>
      <c r="M702" s="4">
        <f t="shared" ref="M702:M705" si="362">L702</f>
        <v>100</v>
      </c>
      <c r="N702" s="4">
        <f t="shared" si="334"/>
        <v>100</v>
      </c>
      <c r="O702" s="5">
        <v>4.4000000000000004</v>
      </c>
      <c r="P702" t="s">
        <v>81</v>
      </c>
      <c r="Q702" t="s">
        <v>54</v>
      </c>
      <c r="R702" s="1">
        <v>0.7</v>
      </c>
      <c r="S702" s="6">
        <f t="shared" si="359"/>
        <v>0.7</v>
      </c>
    </row>
    <row r="703" spans="1:19" ht="13.5" x14ac:dyDescent="0.25">
      <c r="A703" t="s">
        <v>1563</v>
      </c>
      <c r="B703" t="s">
        <v>1564</v>
      </c>
      <c r="C703" t="str">
        <f t="shared" si="346"/>
        <v>Jason Weaver</v>
      </c>
      <c r="D703" t="s">
        <v>43</v>
      </c>
      <c r="E703" s="3" t="str">
        <f t="shared" si="332"/>
        <v>Male</v>
      </c>
      <c r="F703" s="5">
        <v>45</v>
      </c>
      <c r="G703" t="s">
        <v>95</v>
      </c>
      <c r="H703" t="s">
        <v>96</v>
      </c>
      <c r="I703" t="s">
        <v>292</v>
      </c>
      <c r="J703" s="5">
        <v>25</v>
      </c>
      <c r="K703" s="3" t="str" cm="1">
        <f t="array" ref="K703">_xlfn.IFS(J703&lt;=5, "0-5", J703&lt;=10, "6-10", J703&lt;=15, "11-15", J703&lt;=20, "16-20", J703&gt;20, "21+")</f>
        <v>21+</v>
      </c>
      <c r="L703">
        <v>50</v>
      </c>
      <c r="M703" s="4">
        <f t="shared" si="362"/>
        <v>50</v>
      </c>
      <c r="N703" s="4">
        <f t="shared" si="334"/>
        <v>50</v>
      </c>
      <c r="O703" s="5">
        <v>0</v>
      </c>
      <c r="P703" t="s">
        <v>81</v>
      </c>
      <c r="Q703" t="s">
        <v>54</v>
      </c>
      <c r="R703">
        <v>99</v>
      </c>
      <c r="S703" s="6">
        <f t="shared" ref="S703:S704" si="363">R703/100</f>
        <v>0.99</v>
      </c>
    </row>
    <row r="704" spans="1:19" ht="13.5" x14ac:dyDescent="0.25">
      <c r="A704" t="s">
        <v>1565</v>
      </c>
      <c r="B704" t="s">
        <v>1566</v>
      </c>
      <c r="C704" t="str">
        <f t="shared" si="346"/>
        <v>Benjamin Stevens</v>
      </c>
      <c r="D704" t="s">
        <v>328</v>
      </c>
      <c r="E704" s="3" t="str">
        <f t="shared" si="332"/>
        <v>Male</v>
      </c>
      <c r="F704" s="5">
        <v>45</v>
      </c>
      <c r="G704" t="s">
        <v>165</v>
      </c>
      <c r="H704" t="s">
        <v>166</v>
      </c>
      <c r="I704" t="s">
        <v>291</v>
      </c>
      <c r="J704" s="5">
        <v>6</v>
      </c>
      <c r="K704" s="3" t="str" cm="1">
        <f t="array" ref="K704">_xlfn.IFS(J704&lt;=5, "0-5", J704&lt;=10, "6-10", J704&lt;=15, "11-15", J704&lt;=20, "16-20", J704&gt;20, "21+")</f>
        <v>6-10</v>
      </c>
      <c r="L704">
        <v>50</v>
      </c>
      <c r="M704" s="4">
        <f t="shared" si="362"/>
        <v>50</v>
      </c>
      <c r="N704" s="4">
        <f t="shared" si="334"/>
        <v>50</v>
      </c>
      <c r="O704" s="5">
        <v>1.4</v>
      </c>
      <c r="R704">
        <v>97</v>
      </c>
      <c r="S704" s="6">
        <f t="shared" si="363"/>
        <v>0.97</v>
      </c>
    </row>
    <row r="705" spans="1:19" ht="13.5" x14ac:dyDescent="0.25">
      <c r="A705" t="s">
        <v>1567</v>
      </c>
      <c r="B705" t="s">
        <v>1568</v>
      </c>
      <c r="C705" t="str">
        <f t="shared" si="346"/>
        <v>Daniel Lopez</v>
      </c>
      <c r="D705" t="s">
        <v>328</v>
      </c>
      <c r="E705" s="3" t="str">
        <f t="shared" si="332"/>
        <v>Male</v>
      </c>
      <c r="F705" s="5">
        <v>35</v>
      </c>
      <c r="G705" t="s">
        <v>125</v>
      </c>
      <c r="H705" t="s">
        <v>39</v>
      </c>
      <c r="I705" t="s">
        <v>284</v>
      </c>
      <c r="J705" s="5">
        <v>10</v>
      </c>
      <c r="K705" s="3" t="str" cm="1">
        <f t="array" ref="K705">_xlfn.IFS(J705&lt;=5, "0-5", J705&lt;=10, "6-10", J705&lt;=15, "11-15", J705&lt;=20, "16-20", J705&gt;20, "21+")</f>
        <v>6-10</v>
      </c>
      <c r="L705">
        <v>20</v>
      </c>
      <c r="M705" s="4">
        <f t="shared" si="362"/>
        <v>20</v>
      </c>
      <c r="N705" s="4">
        <f t="shared" si="334"/>
        <v>20</v>
      </c>
      <c r="O705" s="5">
        <v>3.2</v>
      </c>
      <c r="P705" t="b">
        <v>1</v>
      </c>
      <c r="Q705" t="s">
        <v>28</v>
      </c>
      <c r="R705" s="1">
        <v>0.77</v>
      </c>
      <c r="S705" s="6">
        <f t="shared" ref="S705:S708" si="364">R705</f>
        <v>0.77</v>
      </c>
    </row>
    <row r="706" spans="1:19" ht="13.5" x14ac:dyDescent="0.25">
      <c r="A706" t="s">
        <v>1569</v>
      </c>
      <c r="B706" t="s">
        <v>1570</v>
      </c>
      <c r="C706" t="str">
        <f t="shared" si="346"/>
        <v>John Simpson</v>
      </c>
      <c r="D706" t="s">
        <v>31</v>
      </c>
      <c r="E706" s="3" t="str">
        <f t="shared" si="332"/>
        <v>Male</v>
      </c>
      <c r="F706" s="5">
        <v>51</v>
      </c>
      <c r="G706" t="s">
        <v>125</v>
      </c>
      <c r="H706" t="s">
        <v>39</v>
      </c>
      <c r="I706" t="s">
        <v>283</v>
      </c>
      <c r="J706" s="5">
        <v>4</v>
      </c>
      <c r="K706" s="3" t="str" cm="1">
        <f t="array" ref="K706">_xlfn.IFS(J706&lt;=5, "0-5", J706&lt;=10, "6-10", J706&lt;=15, "11-15", J706&lt;=20, "16-20", J706&gt;20, "21+")</f>
        <v>0-5</v>
      </c>
      <c r="L706" t="s">
        <v>112</v>
      </c>
      <c r="M706" s="4" t="str">
        <f t="shared" ref="M706" si="365">_xlfn.TEXTAFTER(L706, " ")</f>
        <v>50</v>
      </c>
      <c r="N706" s="4">
        <f t="shared" si="334"/>
        <v>50</v>
      </c>
      <c r="O706" s="5">
        <v>2</v>
      </c>
      <c r="P706" t="s">
        <v>81</v>
      </c>
      <c r="Q706" t="s">
        <v>54</v>
      </c>
      <c r="R706" s="1">
        <v>0.92</v>
      </c>
      <c r="S706" s="6">
        <f t="shared" si="364"/>
        <v>0.92</v>
      </c>
    </row>
    <row r="707" spans="1:19" ht="13.5" x14ac:dyDescent="0.25">
      <c r="A707" t="s">
        <v>1571</v>
      </c>
      <c r="B707" t="s">
        <v>1572</v>
      </c>
      <c r="C707" t="str">
        <f t="shared" si="346"/>
        <v>Katrina Schultz</v>
      </c>
      <c r="D707" t="s">
        <v>301</v>
      </c>
      <c r="E707" s="3" t="str">
        <f t="shared" ref="E707:E770" si="366">IF(LOWER(LEFT(D707,1)) = "f", "Female", "Male")</f>
        <v>Female</v>
      </c>
      <c r="F707" s="5">
        <v>34</v>
      </c>
      <c r="G707" t="s">
        <v>84</v>
      </c>
      <c r="H707" t="s">
        <v>24</v>
      </c>
      <c r="I707" t="s">
        <v>285</v>
      </c>
      <c r="J707" s="5">
        <v>11</v>
      </c>
      <c r="K707" s="3" t="str" cm="1">
        <f t="array" ref="K707">_xlfn.IFS(J707&lt;=5, "0-5", J707&lt;=10, "6-10", J707&lt;=15, "11-15", J707&lt;=20, "16-20", J707&gt;20, "21+")</f>
        <v>11-15</v>
      </c>
      <c r="L707">
        <v>50</v>
      </c>
      <c r="M707" s="4">
        <f>L707</f>
        <v>50</v>
      </c>
      <c r="N707" s="4">
        <f t="shared" ref="N707:N770" si="367">IF(M707="","NA",ROUND(M707,0))</f>
        <v>50</v>
      </c>
      <c r="O707" s="5">
        <v>3.3</v>
      </c>
      <c r="P707" t="s">
        <v>27</v>
      </c>
      <c r="Q707" t="s">
        <v>28</v>
      </c>
      <c r="R707" s="1">
        <v>0.76</v>
      </c>
      <c r="S707" s="6">
        <f t="shared" si="364"/>
        <v>0.76</v>
      </c>
    </row>
    <row r="708" spans="1:19" ht="13.5" x14ac:dyDescent="0.25">
      <c r="A708" t="s">
        <v>1573</v>
      </c>
      <c r="B708" t="s">
        <v>1574</v>
      </c>
      <c r="C708" t="str">
        <f t="shared" si="346"/>
        <v>Danielle Bell</v>
      </c>
      <c r="D708" t="s">
        <v>21</v>
      </c>
      <c r="E708" s="3" t="str">
        <f t="shared" si="366"/>
        <v>Female</v>
      </c>
      <c r="F708" s="5">
        <v>51</v>
      </c>
      <c r="G708" t="s">
        <v>104</v>
      </c>
      <c r="H708" t="s">
        <v>105</v>
      </c>
      <c r="I708" t="s">
        <v>287</v>
      </c>
      <c r="J708" s="5">
        <v>1</v>
      </c>
      <c r="K708" s="3" t="str" cm="1">
        <f t="array" ref="K708">_xlfn.IFS(J708&lt;=5, "0-5", J708&lt;=10, "6-10", J708&lt;=15, "11-15", J708&lt;=20, "16-20", J708&gt;20, "21+")</f>
        <v>0-5</v>
      </c>
      <c r="L708" s="2">
        <v>50</v>
      </c>
      <c r="M708" s="4" t="str">
        <f>SUBSTITUTE(L708, "$","")</f>
        <v>50</v>
      </c>
      <c r="N708" s="4">
        <f t="shared" si="367"/>
        <v>50</v>
      </c>
      <c r="O708" s="5">
        <v>0</v>
      </c>
      <c r="P708" t="s">
        <v>57</v>
      </c>
      <c r="Q708" t="s">
        <v>28</v>
      </c>
      <c r="R708" s="1">
        <v>0.97</v>
      </c>
      <c r="S708" s="6">
        <f t="shared" si="364"/>
        <v>0.97</v>
      </c>
    </row>
    <row r="709" spans="1:19" ht="13.5" x14ac:dyDescent="0.25">
      <c r="A709" t="s">
        <v>1575</v>
      </c>
      <c r="B709" t="s">
        <v>1576</v>
      </c>
      <c r="C709" t="str">
        <f t="shared" si="346"/>
        <v>Jason Brady</v>
      </c>
      <c r="D709" t="s">
        <v>328</v>
      </c>
      <c r="E709" s="3" t="str">
        <f t="shared" si="366"/>
        <v>Male</v>
      </c>
      <c r="F709" s="5">
        <v>58</v>
      </c>
      <c r="G709" t="s">
        <v>117</v>
      </c>
      <c r="H709" t="s">
        <v>118</v>
      </c>
      <c r="I709" t="s">
        <v>287</v>
      </c>
      <c r="J709" s="5">
        <v>35</v>
      </c>
      <c r="K709" s="3" t="str" cm="1">
        <f t="array" ref="K709">_xlfn.IFS(J709&lt;=5, "0-5", J709&lt;=10, "6-10", J709&lt;=15, "11-15", J709&lt;=20, "16-20", J709&gt;20, "21+")</f>
        <v>21+</v>
      </c>
      <c r="L709" t="s">
        <v>40</v>
      </c>
      <c r="M709" s="4" t="str">
        <f t="shared" ref="M709" si="368">_xlfn.TEXTAFTER(L709, " ")</f>
        <v>100</v>
      </c>
      <c r="N709" s="4">
        <f t="shared" si="367"/>
        <v>100</v>
      </c>
      <c r="O709" s="5">
        <v>2.2999999999999998</v>
      </c>
      <c r="P709" t="s">
        <v>57</v>
      </c>
      <c r="Q709" t="s">
        <v>28</v>
      </c>
      <c r="S709" s="7"/>
    </row>
    <row r="710" spans="1:19" ht="13.5" x14ac:dyDescent="0.25">
      <c r="A710" t="s">
        <v>1577</v>
      </c>
      <c r="B710" t="s">
        <v>1578</v>
      </c>
      <c r="C710" t="str">
        <f t="shared" si="346"/>
        <v>Megan Bright</v>
      </c>
      <c r="D710" t="s">
        <v>37</v>
      </c>
      <c r="E710" s="3" t="str">
        <f t="shared" si="366"/>
        <v>Female</v>
      </c>
      <c r="F710" s="5">
        <v>36</v>
      </c>
      <c r="G710" t="s">
        <v>52</v>
      </c>
      <c r="H710" t="s">
        <v>53</v>
      </c>
      <c r="I710" t="s">
        <v>290</v>
      </c>
      <c r="J710" s="5">
        <v>17</v>
      </c>
      <c r="K710" s="3" t="str" cm="1">
        <f t="array" ref="K710">_xlfn.IFS(J710&lt;=5, "0-5", J710&lt;=10, "6-10", J710&lt;=15, "11-15", J710&lt;=20, "16-20", J710&gt;20, "21+")</f>
        <v>16-20</v>
      </c>
      <c r="L710" s="2">
        <v>20</v>
      </c>
      <c r="M710" s="4" t="str">
        <f>SUBSTITUTE(L710, "$","")</f>
        <v>20</v>
      </c>
      <c r="N710" s="4">
        <f t="shared" si="367"/>
        <v>20</v>
      </c>
      <c r="O710" s="5">
        <v>0</v>
      </c>
      <c r="P710">
        <v>1</v>
      </c>
      <c r="Q710" t="s">
        <v>28</v>
      </c>
      <c r="R710">
        <v>99</v>
      </c>
      <c r="S710" s="6">
        <f>R710/100</f>
        <v>0.99</v>
      </c>
    </row>
    <row r="711" spans="1:19" ht="13.5" x14ac:dyDescent="0.25">
      <c r="A711" t="s">
        <v>155</v>
      </c>
      <c r="B711" t="s">
        <v>156</v>
      </c>
      <c r="C711" t="str">
        <f t="shared" si="346"/>
        <v>David Griffin</v>
      </c>
      <c r="D711" t="s">
        <v>311</v>
      </c>
      <c r="E711" s="3" t="str">
        <f t="shared" si="366"/>
        <v>Male</v>
      </c>
      <c r="G711" t="s">
        <v>95</v>
      </c>
      <c r="H711" t="s">
        <v>96</v>
      </c>
      <c r="I711" t="s">
        <v>25</v>
      </c>
      <c r="J711" s="5">
        <v>12</v>
      </c>
      <c r="K711" s="3" t="str" cm="1">
        <f t="array" ref="K711">_xlfn.IFS(J711&lt;=5, "0-5", J711&lt;=10, "6-10", J711&lt;=15, "11-15", J711&lt;=20, "16-20", J711&gt;20, "21+")</f>
        <v>11-15</v>
      </c>
      <c r="L711">
        <v>30</v>
      </c>
      <c r="M711" s="4">
        <f t="shared" ref="M711:M714" si="369">L711</f>
        <v>30</v>
      </c>
      <c r="N711" s="4">
        <f t="shared" si="367"/>
        <v>30</v>
      </c>
      <c r="O711" s="5">
        <v>2.6</v>
      </c>
      <c r="P711" t="s">
        <v>57</v>
      </c>
      <c r="Q711" t="s">
        <v>28</v>
      </c>
      <c r="S711" s="7"/>
    </row>
    <row r="712" spans="1:19" ht="13.5" x14ac:dyDescent="0.25">
      <c r="A712" t="s">
        <v>1579</v>
      </c>
      <c r="B712" t="s">
        <v>1580</v>
      </c>
      <c r="C712" t="str">
        <f t="shared" si="346"/>
        <v>Michael Clark</v>
      </c>
      <c r="D712" t="s">
        <v>328</v>
      </c>
      <c r="E712" s="3" t="str">
        <f t="shared" si="366"/>
        <v>Male</v>
      </c>
      <c r="F712" s="5">
        <v>56</v>
      </c>
      <c r="G712" t="s">
        <v>177</v>
      </c>
      <c r="H712" t="s">
        <v>178</v>
      </c>
      <c r="I712" t="s">
        <v>284</v>
      </c>
      <c r="J712" s="5">
        <v>30</v>
      </c>
      <c r="K712" s="3" t="str" cm="1">
        <f t="array" ref="K712">_xlfn.IFS(J712&lt;=5, "0-5", J712&lt;=10, "6-10", J712&lt;=15, "11-15", J712&lt;=20, "16-20", J712&gt;20, "21+")</f>
        <v>21+</v>
      </c>
      <c r="L712">
        <v>40</v>
      </c>
      <c r="M712" s="4">
        <f t="shared" si="369"/>
        <v>40</v>
      </c>
      <c r="N712" s="4">
        <f t="shared" si="367"/>
        <v>40</v>
      </c>
      <c r="O712" s="5">
        <v>3.3</v>
      </c>
      <c r="P712" t="s">
        <v>27</v>
      </c>
      <c r="Q712" t="s">
        <v>28</v>
      </c>
      <c r="R712" s="1">
        <v>0.82</v>
      </c>
      <c r="S712" s="6">
        <f t="shared" ref="S712:S713" si="370">R712</f>
        <v>0.82</v>
      </c>
    </row>
    <row r="713" spans="1:19" ht="13.5" x14ac:dyDescent="0.25">
      <c r="A713" t="s">
        <v>1581</v>
      </c>
      <c r="B713" t="s">
        <v>1582</v>
      </c>
      <c r="C713" t="str">
        <f t="shared" si="346"/>
        <v>Rebecca Barker</v>
      </c>
      <c r="D713" t="s">
        <v>37</v>
      </c>
      <c r="E713" s="3" t="str">
        <f t="shared" si="366"/>
        <v>Female</v>
      </c>
      <c r="F713" s="5">
        <v>58</v>
      </c>
      <c r="G713" t="s">
        <v>125</v>
      </c>
      <c r="H713" t="s">
        <v>39</v>
      </c>
      <c r="I713" t="s">
        <v>288</v>
      </c>
      <c r="J713" s="5">
        <v>20</v>
      </c>
      <c r="K713" s="3" t="str" cm="1">
        <f t="array" ref="K713">_xlfn.IFS(J713&lt;=5, "0-5", J713&lt;=10, "6-10", J713&lt;=15, "11-15", J713&lt;=20, "16-20", J713&gt;20, "21+")</f>
        <v>16-20</v>
      </c>
      <c r="L713">
        <v>75</v>
      </c>
      <c r="M713" s="4">
        <f t="shared" si="369"/>
        <v>75</v>
      </c>
      <c r="N713" s="4">
        <f t="shared" si="367"/>
        <v>75</v>
      </c>
      <c r="O713" s="5">
        <v>3.6</v>
      </c>
      <c r="P713" t="s">
        <v>27</v>
      </c>
      <c r="Q713" t="s">
        <v>28</v>
      </c>
      <c r="R713" s="1">
        <v>0.78</v>
      </c>
      <c r="S713" s="6">
        <f t="shared" si="370"/>
        <v>0.78</v>
      </c>
    </row>
    <row r="714" spans="1:19" ht="13.5" x14ac:dyDescent="0.25">
      <c r="A714" t="s">
        <v>1583</v>
      </c>
      <c r="B714" t="s">
        <v>1584</v>
      </c>
      <c r="C714" t="str">
        <f t="shared" si="346"/>
        <v>Angela Smith</v>
      </c>
      <c r="D714" t="s">
        <v>37</v>
      </c>
      <c r="E714" s="3" t="str">
        <f t="shared" si="366"/>
        <v>Female</v>
      </c>
      <c r="F714" s="5">
        <v>58</v>
      </c>
      <c r="G714" t="s">
        <v>183</v>
      </c>
      <c r="H714" t="s">
        <v>39</v>
      </c>
      <c r="I714" t="s">
        <v>288</v>
      </c>
      <c r="J714" s="5">
        <v>22</v>
      </c>
      <c r="K714" s="3" t="str" cm="1">
        <f t="array" ref="K714">_xlfn.IFS(J714&lt;=5, "0-5", J714&lt;=10, "6-10", J714&lt;=15, "11-15", J714&lt;=20, "16-20", J714&gt;20, "21+")</f>
        <v>21+</v>
      </c>
      <c r="L714">
        <v>100</v>
      </c>
      <c r="M714" s="4">
        <f t="shared" si="369"/>
        <v>100</v>
      </c>
      <c r="N714" s="4">
        <f t="shared" si="367"/>
        <v>100</v>
      </c>
      <c r="O714" s="5">
        <v>3.7</v>
      </c>
      <c r="P714">
        <v>0</v>
      </c>
      <c r="Q714" t="s">
        <v>54</v>
      </c>
      <c r="S714" s="7"/>
    </row>
    <row r="715" spans="1:19" ht="13.5" x14ac:dyDescent="0.25">
      <c r="A715" t="s">
        <v>150</v>
      </c>
      <c r="B715" t="s">
        <v>151</v>
      </c>
      <c r="C715" t="str">
        <f t="shared" si="346"/>
        <v>Christina Wright</v>
      </c>
      <c r="D715" t="s">
        <v>301</v>
      </c>
      <c r="E715" s="3" t="str">
        <f t="shared" si="366"/>
        <v>Female</v>
      </c>
      <c r="F715" s="5">
        <v>54</v>
      </c>
      <c r="G715" t="s">
        <v>152</v>
      </c>
      <c r="H715" t="s">
        <v>39</v>
      </c>
      <c r="I715" t="s">
        <v>25</v>
      </c>
      <c r="J715" s="5">
        <v>32</v>
      </c>
      <c r="K715" s="3" t="str" cm="1">
        <f t="array" ref="K715">_xlfn.IFS(J715&lt;=5, "0-5", J715&lt;=10, "6-10", J715&lt;=15, "11-15", J715&lt;=20, "16-20", J715&gt;20, "21+")</f>
        <v>21+</v>
      </c>
      <c r="L715" s="2">
        <v>20</v>
      </c>
      <c r="M715" s="4" t="str">
        <f>SUBSTITUTE(L715, "$","")</f>
        <v>20</v>
      </c>
      <c r="N715" s="4">
        <f t="shared" si="367"/>
        <v>20</v>
      </c>
      <c r="O715" s="5">
        <v>3.4</v>
      </c>
      <c r="P715" t="s">
        <v>81</v>
      </c>
      <c r="Q715" t="s">
        <v>54</v>
      </c>
      <c r="S715" s="7"/>
    </row>
    <row r="716" spans="1:19" ht="13.5" x14ac:dyDescent="0.25">
      <c r="A716" t="s">
        <v>1585</v>
      </c>
      <c r="B716" t="s">
        <v>1586</v>
      </c>
      <c r="C716" t="str">
        <f t="shared" si="346"/>
        <v>Todd Turner</v>
      </c>
      <c r="D716" t="s">
        <v>31</v>
      </c>
      <c r="E716" s="3" t="str">
        <f t="shared" si="366"/>
        <v>Male</v>
      </c>
      <c r="F716" s="5">
        <v>53</v>
      </c>
      <c r="G716" t="s">
        <v>38</v>
      </c>
      <c r="H716" t="s">
        <v>39</v>
      </c>
      <c r="I716" t="s">
        <v>286</v>
      </c>
      <c r="J716" s="5">
        <v>9</v>
      </c>
      <c r="K716" s="3" t="str" cm="1">
        <f t="array" ref="K716">_xlfn.IFS(J716&lt;=5, "0-5", J716&lt;=10, "6-10", J716&lt;=15, "11-15", J716&lt;=20, "16-20", J716&gt;20, "21+")</f>
        <v>6-10</v>
      </c>
      <c r="L716">
        <v>50</v>
      </c>
      <c r="M716" s="4">
        <f t="shared" ref="M716:M719" si="371">L716</f>
        <v>50</v>
      </c>
      <c r="N716" s="4">
        <f t="shared" si="367"/>
        <v>50</v>
      </c>
      <c r="O716" s="5">
        <v>4</v>
      </c>
      <c r="P716" t="s">
        <v>57</v>
      </c>
      <c r="Q716" t="s">
        <v>28</v>
      </c>
      <c r="R716" s="1">
        <v>0.72</v>
      </c>
      <c r="S716" s="6">
        <f>R716</f>
        <v>0.72</v>
      </c>
    </row>
    <row r="717" spans="1:19" ht="13.5" x14ac:dyDescent="0.25">
      <c r="A717" t="s">
        <v>1587</v>
      </c>
      <c r="B717" t="s">
        <v>1588</v>
      </c>
      <c r="C717" t="str">
        <f t="shared" si="346"/>
        <v>Elizabeth Green</v>
      </c>
      <c r="D717" t="s">
        <v>22</v>
      </c>
      <c r="E717" s="3" t="str">
        <f t="shared" si="366"/>
        <v>Female</v>
      </c>
      <c r="F717" s="5">
        <v>43</v>
      </c>
      <c r="G717" t="s">
        <v>38</v>
      </c>
      <c r="H717" t="s">
        <v>39</v>
      </c>
      <c r="I717" t="s">
        <v>290</v>
      </c>
      <c r="J717" s="5">
        <v>22</v>
      </c>
      <c r="K717" s="3" t="str" cm="1">
        <f t="array" ref="K717">_xlfn.IFS(J717&lt;=5, "0-5", J717&lt;=10, "6-10", J717&lt;=15, "11-15", J717&lt;=20, "16-20", J717&gt;20, "21+")</f>
        <v>21+</v>
      </c>
      <c r="L717">
        <v>40</v>
      </c>
      <c r="M717" s="4">
        <f t="shared" si="371"/>
        <v>40</v>
      </c>
      <c r="N717" s="4">
        <f t="shared" si="367"/>
        <v>40</v>
      </c>
      <c r="O717" s="5">
        <v>4.5</v>
      </c>
      <c r="S717" s="7"/>
    </row>
    <row r="718" spans="1:19" ht="13.5" x14ac:dyDescent="0.25">
      <c r="A718" t="s">
        <v>1589</v>
      </c>
      <c r="B718" t="s">
        <v>1590</v>
      </c>
      <c r="C718" t="str">
        <f t="shared" si="346"/>
        <v>Alex Smith</v>
      </c>
      <c r="D718" t="s">
        <v>328</v>
      </c>
      <c r="E718" s="3" t="str">
        <f t="shared" si="366"/>
        <v>Male</v>
      </c>
      <c r="F718" s="5">
        <v>44</v>
      </c>
      <c r="G718" t="s">
        <v>62</v>
      </c>
      <c r="H718" t="s">
        <v>63</v>
      </c>
      <c r="I718" t="s">
        <v>284</v>
      </c>
      <c r="J718" s="5">
        <v>1</v>
      </c>
      <c r="K718" s="3" t="str" cm="1">
        <f t="array" ref="K718">_xlfn.IFS(J718&lt;=5, "0-5", J718&lt;=10, "6-10", J718&lt;=15, "11-15", J718&lt;=20, "16-20", J718&gt;20, "21+")</f>
        <v>0-5</v>
      </c>
      <c r="L718">
        <v>75</v>
      </c>
      <c r="M718" s="4">
        <f t="shared" si="371"/>
        <v>75</v>
      </c>
      <c r="N718" s="4">
        <f t="shared" si="367"/>
        <v>75</v>
      </c>
      <c r="O718" s="5">
        <v>4.3</v>
      </c>
      <c r="P718">
        <v>1</v>
      </c>
      <c r="Q718" t="s">
        <v>28</v>
      </c>
      <c r="S718" s="7"/>
    </row>
    <row r="719" spans="1:19" ht="13.5" x14ac:dyDescent="0.25">
      <c r="A719" t="s">
        <v>1591</v>
      </c>
      <c r="B719" t="s">
        <v>1592</v>
      </c>
      <c r="C719" t="str">
        <f t="shared" si="346"/>
        <v>Shane Hale</v>
      </c>
      <c r="D719" t="s">
        <v>328</v>
      </c>
      <c r="E719" s="3" t="str">
        <f t="shared" si="366"/>
        <v>Male</v>
      </c>
      <c r="F719" s="5">
        <v>34</v>
      </c>
      <c r="G719" t="s">
        <v>125</v>
      </c>
      <c r="H719" t="s">
        <v>39</v>
      </c>
      <c r="I719" t="s">
        <v>288</v>
      </c>
      <c r="J719" s="5">
        <v>4</v>
      </c>
      <c r="K719" s="3" t="str" cm="1">
        <f t="array" ref="K719">_xlfn.IFS(J719&lt;=5, "0-5", J719&lt;=10, "6-10", J719&lt;=15, "11-15", J719&lt;=20, "16-20", J719&gt;20, "21+")</f>
        <v>0-5</v>
      </c>
      <c r="L719">
        <v>75</v>
      </c>
      <c r="M719" s="4">
        <f t="shared" si="371"/>
        <v>75</v>
      </c>
      <c r="N719" s="4">
        <f t="shared" si="367"/>
        <v>75</v>
      </c>
      <c r="O719" s="5">
        <v>4</v>
      </c>
      <c r="P719">
        <v>1</v>
      </c>
      <c r="Q719" t="s">
        <v>28</v>
      </c>
      <c r="S719" s="7"/>
    </row>
    <row r="720" spans="1:19" ht="13.5" x14ac:dyDescent="0.25">
      <c r="A720" t="s">
        <v>1593</v>
      </c>
      <c r="B720" t="s">
        <v>1594</v>
      </c>
      <c r="C720" t="str">
        <f t="shared" si="346"/>
        <v>Kathy Grimes</v>
      </c>
      <c r="D720" t="s">
        <v>304</v>
      </c>
      <c r="E720" s="3" t="str">
        <f t="shared" si="366"/>
        <v>Female</v>
      </c>
      <c r="F720" s="5">
        <v>27</v>
      </c>
      <c r="G720" t="s">
        <v>47</v>
      </c>
      <c r="H720" t="s">
        <v>48</v>
      </c>
      <c r="I720" t="s">
        <v>285</v>
      </c>
      <c r="J720" s="5">
        <v>8</v>
      </c>
      <c r="K720" s="3" t="str" cm="1">
        <f t="array" ref="K720">_xlfn.IFS(J720&lt;=5, "0-5", J720&lt;=10, "6-10", J720&lt;=15, "11-15", J720&lt;=20, "16-20", J720&gt;20, "21+")</f>
        <v>6-10</v>
      </c>
      <c r="L720" s="2">
        <v>50</v>
      </c>
      <c r="M720" s="4" t="str">
        <f>SUBSTITUTE(L720, "$","")</f>
        <v>50</v>
      </c>
      <c r="N720" s="4">
        <f t="shared" si="367"/>
        <v>50</v>
      </c>
      <c r="O720" s="5">
        <v>1.6</v>
      </c>
      <c r="P720" t="s">
        <v>27</v>
      </c>
      <c r="Q720" t="s">
        <v>28</v>
      </c>
      <c r="S720" s="7"/>
    </row>
    <row r="721" spans="1:19" ht="13.5" x14ac:dyDescent="0.25">
      <c r="A721" t="s">
        <v>1595</v>
      </c>
      <c r="B721" t="s">
        <v>1596</v>
      </c>
      <c r="C721" t="str">
        <f t="shared" si="346"/>
        <v>David Cherry</v>
      </c>
      <c r="D721" t="s">
        <v>43</v>
      </c>
      <c r="E721" s="3" t="str">
        <f t="shared" si="366"/>
        <v>Male</v>
      </c>
      <c r="F721" s="5">
        <v>50</v>
      </c>
      <c r="G721" t="s">
        <v>88</v>
      </c>
      <c r="H721" t="s">
        <v>89</v>
      </c>
      <c r="I721" t="s">
        <v>291</v>
      </c>
      <c r="J721" s="5">
        <v>3</v>
      </c>
      <c r="K721" s="3" t="str" cm="1">
        <f t="array" ref="K721">_xlfn.IFS(J721&lt;=5, "0-5", J721&lt;=10, "6-10", J721&lt;=15, "11-15", J721&lt;=20, "16-20", J721&gt;20, "21+")</f>
        <v>0-5</v>
      </c>
      <c r="L721">
        <v>100</v>
      </c>
      <c r="M721" s="4">
        <f t="shared" ref="M721:M722" si="372">L721</f>
        <v>100</v>
      </c>
      <c r="N721" s="4">
        <f t="shared" si="367"/>
        <v>100</v>
      </c>
      <c r="O721" s="5">
        <v>0</v>
      </c>
      <c r="P721" t="s">
        <v>57</v>
      </c>
      <c r="Q721" t="s">
        <v>28</v>
      </c>
      <c r="S721" s="7"/>
    </row>
    <row r="722" spans="1:19" ht="13.5" x14ac:dyDescent="0.25">
      <c r="A722" t="s">
        <v>1597</v>
      </c>
      <c r="B722" t="s">
        <v>1598</v>
      </c>
      <c r="C722" t="str">
        <f t="shared" si="346"/>
        <v>Rachel Rogers</v>
      </c>
      <c r="D722" t="s">
        <v>304</v>
      </c>
      <c r="E722" s="3" t="str">
        <f t="shared" si="366"/>
        <v>Female</v>
      </c>
      <c r="F722" s="5">
        <v>52</v>
      </c>
      <c r="G722" t="s">
        <v>62</v>
      </c>
      <c r="H722" t="s">
        <v>63</v>
      </c>
      <c r="I722" t="s">
        <v>286</v>
      </c>
      <c r="J722" s="5">
        <v>30</v>
      </c>
      <c r="K722" s="3" t="str" cm="1">
        <f t="array" ref="K722">_xlfn.IFS(J722&lt;=5, "0-5", J722&lt;=10, "6-10", J722&lt;=15, "11-15", J722&lt;=20, "16-20", J722&gt;20, "21+")</f>
        <v>21+</v>
      </c>
      <c r="L722">
        <v>75</v>
      </c>
      <c r="M722" s="4">
        <f t="shared" si="372"/>
        <v>75</v>
      </c>
      <c r="N722" s="4">
        <f t="shared" si="367"/>
        <v>75</v>
      </c>
      <c r="P722" t="s">
        <v>81</v>
      </c>
      <c r="Q722" t="s">
        <v>54</v>
      </c>
      <c r="R722" s="1">
        <v>0.94</v>
      </c>
      <c r="S722" s="6">
        <f>R722</f>
        <v>0.94</v>
      </c>
    </row>
    <row r="723" spans="1:19" ht="13.5" x14ac:dyDescent="0.25">
      <c r="A723" t="s">
        <v>1599</v>
      </c>
      <c r="B723" t="s">
        <v>1600</v>
      </c>
      <c r="C723" t="str">
        <f t="shared" si="346"/>
        <v>Travis Braun</v>
      </c>
      <c r="D723" t="s">
        <v>311</v>
      </c>
      <c r="E723" s="3" t="str">
        <f t="shared" si="366"/>
        <v>Male</v>
      </c>
      <c r="F723" s="5">
        <v>57</v>
      </c>
      <c r="G723" t="s">
        <v>84</v>
      </c>
      <c r="H723" t="s">
        <v>24</v>
      </c>
      <c r="I723" t="s">
        <v>292</v>
      </c>
      <c r="J723" s="5">
        <v>11</v>
      </c>
      <c r="K723" s="3" t="str" cm="1">
        <f t="array" ref="K723">_xlfn.IFS(J723&lt;=5, "0-5", J723&lt;=10, "6-10", J723&lt;=15, "11-15", J723&lt;=20, "16-20", J723&gt;20, "21+")</f>
        <v>11-15</v>
      </c>
      <c r="L723" t="s">
        <v>78</v>
      </c>
      <c r="M723" s="4" t="str">
        <f t="shared" ref="M723" si="373">_xlfn.TEXTAFTER(L723, " ")</f>
        <v>20</v>
      </c>
      <c r="N723" s="4">
        <f t="shared" si="367"/>
        <v>20</v>
      </c>
      <c r="O723" s="5">
        <v>4.9000000000000004</v>
      </c>
      <c r="P723" t="s">
        <v>57</v>
      </c>
      <c r="Q723" t="s">
        <v>28</v>
      </c>
      <c r="S723" s="7"/>
    </row>
    <row r="724" spans="1:19" ht="13.5" x14ac:dyDescent="0.25">
      <c r="A724" t="s">
        <v>1601</v>
      </c>
      <c r="B724" t="s">
        <v>1602</v>
      </c>
      <c r="C724" t="str">
        <f t="shared" si="346"/>
        <v>Shawna Palmer</v>
      </c>
      <c r="D724" t="s">
        <v>304</v>
      </c>
      <c r="E724" s="3" t="str">
        <f t="shared" si="366"/>
        <v>Female</v>
      </c>
      <c r="F724" s="5">
        <v>53</v>
      </c>
      <c r="G724" t="s">
        <v>44</v>
      </c>
      <c r="H724" t="s">
        <v>24</v>
      </c>
      <c r="I724" t="s">
        <v>283</v>
      </c>
      <c r="J724" s="5">
        <v>8</v>
      </c>
      <c r="K724" s="3" t="str" cm="1">
        <f t="array" ref="K724">_xlfn.IFS(J724&lt;=5, "0-5", J724&lt;=10, "6-10", J724&lt;=15, "11-15", J724&lt;=20, "16-20", J724&gt;20, "21+")</f>
        <v>6-10</v>
      </c>
      <c r="L724">
        <v>20</v>
      </c>
      <c r="M724" s="4">
        <f>L724</f>
        <v>20</v>
      </c>
      <c r="N724" s="4">
        <f t="shared" si="367"/>
        <v>20</v>
      </c>
      <c r="O724" s="5">
        <v>2.8</v>
      </c>
      <c r="P724" t="b">
        <v>1</v>
      </c>
      <c r="Q724" t="s">
        <v>28</v>
      </c>
      <c r="S724" s="7"/>
    </row>
    <row r="725" spans="1:19" ht="13.5" x14ac:dyDescent="0.25">
      <c r="A725" t="s">
        <v>1603</v>
      </c>
      <c r="B725" t="s">
        <v>1604</v>
      </c>
      <c r="C725" t="str">
        <f t="shared" si="346"/>
        <v>Bradley Gaines</v>
      </c>
      <c r="D725" t="s">
        <v>43</v>
      </c>
      <c r="E725" s="3" t="str">
        <f t="shared" si="366"/>
        <v>Male</v>
      </c>
      <c r="F725" s="5">
        <v>51</v>
      </c>
      <c r="G725" t="s">
        <v>67</v>
      </c>
      <c r="H725" t="s">
        <v>68</v>
      </c>
      <c r="I725" t="s">
        <v>286</v>
      </c>
      <c r="J725" s="5">
        <v>11</v>
      </c>
      <c r="K725" s="3" t="str" cm="1">
        <f t="array" ref="K725">_xlfn.IFS(J725&lt;=5, "0-5", J725&lt;=10, "6-10", J725&lt;=15, "11-15", J725&lt;=20, "16-20", J725&gt;20, "21+")</f>
        <v>11-15</v>
      </c>
      <c r="L725" t="s">
        <v>72</v>
      </c>
      <c r="M725" s="4" t="str">
        <f t="shared" ref="M725" si="374">_xlfn.TEXTAFTER(L725, " ")</f>
        <v>30</v>
      </c>
      <c r="N725" s="4">
        <f t="shared" si="367"/>
        <v>30</v>
      </c>
      <c r="O725" s="5">
        <v>3.6</v>
      </c>
      <c r="P725" t="s">
        <v>57</v>
      </c>
      <c r="Q725" t="s">
        <v>28</v>
      </c>
      <c r="R725" s="1">
        <v>0.77</v>
      </c>
      <c r="S725" s="6">
        <f>R725</f>
        <v>0.77</v>
      </c>
    </row>
    <row r="726" spans="1:19" ht="13.5" x14ac:dyDescent="0.25">
      <c r="A726" t="s">
        <v>1605</v>
      </c>
      <c r="B726" t="s">
        <v>1606</v>
      </c>
      <c r="C726" t="str">
        <f t="shared" si="346"/>
        <v>April Ford</v>
      </c>
      <c r="D726" t="s">
        <v>21</v>
      </c>
      <c r="E726" s="3" t="str">
        <f t="shared" si="366"/>
        <v>Female</v>
      </c>
      <c r="F726" s="5">
        <v>37</v>
      </c>
      <c r="G726" t="s">
        <v>125</v>
      </c>
      <c r="H726" t="s">
        <v>39</v>
      </c>
      <c r="I726" t="s">
        <v>288</v>
      </c>
      <c r="J726" s="5">
        <v>9</v>
      </c>
      <c r="K726" s="3" t="str" cm="1">
        <f t="array" ref="K726">_xlfn.IFS(J726&lt;=5, "0-5", J726&lt;=10, "6-10", J726&lt;=15, "11-15", J726&lt;=20, "16-20", J726&gt;20, "21+")</f>
        <v>6-10</v>
      </c>
      <c r="L726" s="2">
        <v>50</v>
      </c>
      <c r="M726" s="4" t="str">
        <f>SUBSTITUTE(L726, "$","")</f>
        <v>50</v>
      </c>
      <c r="N726" s="4">
        <f t="shared" si="367"/>
        <v>50</v>
      </c>
      <c r="P726" t="s">
        <v>27</v>
      </c>
      <c r="Q726" t="s">
        <v>28</v>
      </c>
      <c r="R726">
        <v>84</v>
      </c>
      <c r="S726" s="6">
        <f t="shared" ref="S726:S727" si="375">R726/100</f>
        <v>0.84</v>
      </c>
    </row>
    <row r="727" spans="1:19" ht="13.5" x14ac:dyDescent="0.25">
      <c r="A727" t="s">
        <v>1607</v>
      </c>
      <c r="B727" t="s">
        <v>1608</v>
      </c>
      <c r="C727" t="str">
        <f t="shared" si="346"/>
        <v>James Gonzalez</v>
      </c>
      <c r="D727" t="s">
        <v>311</v>
      </c>
      <c r="E727" s="3" t="str">
        <f t="shared" si="366"/>
        <v>Male</v>
      </c>
      <c r="F727" s="5">
        <v>40</v>
      </c>
      <c r="G727" t="s">
        <v>84</v>
      </c>
      <c r="H727" t="s">
        <v>24</v>
      </c>
      <c r="I727" t="s">
        <v>290</v>
      </c>
      <c r="J727" s="5">
        <v>7</v>
      </c>
      <c r="K727" s="3" t="str" cm="1">
        <f t="array" ref="K727">_xlfn.IFS(J727&lt;=5, "0-5", J727&lt;=10, "6-10", J727&lt;=15, "11-15", J727&lt;=20, "16-20", J727&gt;20, "21+")</f>
        <v>6-10</v>
      </c>
      <c r="L727">
        <v>40</v>
      </c>
      <c r="M727" s="4">
        <f>L727</f>
        <v>40</v>
      </c>
      <c r="N727" s="4">
        <f t="shared" si="367"/>
        <v>40</v>
      </c>
      <c r="O727" s="5">
        <v>4.5</v>
      </c>
      <c r="R727">
        <v>79</v>
      </c>
      <c r="S727" s="6">
        <f t="shared" si="375"/>
        <v>0.79</v>
      </c>
    </row>
    <row r="728" spans="1:19" ht="13.5" x14ac:dyDescent="0.25">
      <c r="A728" t="s">
        <v>1609</v>
      </c>
      <c r="B728" t="s">
        <v>1610</v>
      </c>
      <c r="C728" t="str">
        <f t="shared" si="346"/>
        <v>John Castillo</v>
      </c>
      <c r="D728" t="s">
        <v>43</v>
      </c>
      <c r="E728" s="3" t="str">
        <f t="shared" si="366"/>
        <v>Male</v>
      </c>
      <c r="F728" s="5">
        <v>60</v>
      </c>
      <c r="G728" t="s">
        <v>88</v>
      </c>
      <c r="H728" t="s">
        <v>89</v>
      </c>
      <c r="I728" t="s">
        <v>291</v>
      </c>
      <c r="J728" s="5">
        <v>24</v>
      </c>
      <c r="K728" s="3" t="str" cm="1">
        <f t="array" ref="K728">_xlfn.IFS(J728&lt;=5, "0-5", J728&lt;=10, "6-10", J728&lt;=15, "11-15", J728&lt;=20, "16-20", J728&gt;20, "21+")</f>
        <v>21+</v>
      </c>
      <c r="L728" t="s">
        <v>99</v>
      </c>
      <c r="M728" s="4" t="str">
        <f t="shared" ref="M728" si="376">_xlfn.TEXTAFTER(L728, " ")</f>
        <v>40</v>
      </c>
      <c r="N728" s="4">
        <f t="shared" si="367"/>
        <v>40</v>
      </c>
      <c r="O728" s="5">
        <v>3.1</v>
      </c>
      <c r="P728">
        <v>0</v>
      </c>
      <c r="Q728" t="s">
        <v>54</v>
      </c>
      <c r="R728" s="1">
        <v>0.69</v>
      </c>
      <c r="S728" s="6">
        <f t="shared" ref="S728:S729" si="377">R728</f>
        <v>0.69</v>
      </c>
    </row>
    <row r="729" spans="1:19" ht="13.5" x14ac:dyDescent="0.25">
      <c r="A729" t="s">
        <v>1611</v>
      </c>
      <c r="B729" t="s">
        <v>1612</v>
      </c>
      <c r="C729" t="str">
        <f t="shared" si="346"/>
        <v>Ian Hayes</v>
      </c>
      <c r="D729" t="s">
        <v>328</v>
      </c>
      <c r="E729" s="3" t="str">
        <f t="shared" si="366"/>
        <v>Male</v>
      </c>
      <c r="F729" s="5">
        <v>60</v>
      </c>
      <c r="G729" t="s">
        <v>132</v>
      </c>
      <c r="H729" t="s">
        <v>133</v>
      </c>
      <c r="I729" t="s">
        <v>286</v>
      </c>
      <c r="J729" s="5">
        <v>0</v>
      </c>
      <c r="K729" s="3" t="str" cm="1">
        <f t="array" ref="K729">_xlfn.IFS(J729&lt;=5, "0-5", J729&lt;=10, "6-10", J729&lt;=15, "11-15", J729&lt;=20, "16-20", J729&gt;20, "21+")</f>
        <v>0-5</v>
      </c>
      <c r="L729">
        <v>40</v>
      </c>
      <c r="M729" s="4">
        <f>L729</f>
        <v>40</v>
      </c>
      <c r="N729" s="4">
        <f t="shared" si="367"/>
        <v>40</v>
      </c>
      <c r="O729" s="5">
        <v>4.9000000000000004</v>
      </c>
      <c r="P729" t="s">
        <v>57</v>
      </c>
      <c r="Q729" t="s">
        <v>28</v>
      </c>
      <c r="R729" s="1">
        <v>0.68</v>
      </c>
      <c r="S729" s="6">
        <f t="shared" si="377"/>
        <v>0.68</v>
      </c>
    </row>
    <row r="730" spans="1:19" ht="13.5" x14ac:dyDescent="0.25">
      <c r="A730" t="s">
        <v>1613</v>
      </c>
      <c r="B730" t="s">
        <v>1614</v>
      </c>
      <c r="C730" t="str">
        <f t="shared" si="346"/>
        <v>Christine Castro</v>
      </c>
      <c r="D730" t="s">
        <v>22</v>
      </c>
      <c r="E730" s="3" t="str">
        <f t="shared" si="366"/>
        <v>Female</v>
      </c>
      <c r="F730" s="5">
        <v>53</v>
      </c>
      <c r="G730" t="s">
        <v>62</v>
      </c>
      <c r="H730" t="s">
        <v>63</v>
      </c>
      <c r="I730" t="s">
        <v>286</v>
      </c>
      <c r="J730" s="5">
        <v>21</v>
      </c>
      <c r="K730" s="3" t="str" cm="1">
        <f t="array" ref="K730">_xlfn.IFS(J730&lt;=5, "0-5", J730&lt;=10, "6-10", J730&lt;=15, "11-15", J730&lt;=20, "16-20", J730&gt;20, "21+")</f>
        <v>21+</v>
      </c>
      <c r="L730" s="2">
        <v>30</v>
      </c>
      <c r="M730" s="4" t="str">
        <f>SUBSTITUTE(L730, "$","")</f>
        <v>30</v>
      </c>
      <c r="N730" s="4">
        <f t="shared" si="367"/>
        <v>30</v>
      </c>
      <c r="O730" s="5">
        <v>4.2</v>
      </c>
      <c r="P730">
        <v>1</v>
      </c>
      <c r="Q730" t="s">
        <v>28</v>
      </c>
      <c r="R730">
        <v>73</v>
      </c>
      <c r="S730" s="6">
        <f>R730/100</f>
        <v>0.73</v>
      </c>
    </row>
    <row r="731" spans="1:19" ht="13.5" x14ac:dyDescent="0.25">
      <c r="A731" t="s">
        <v>1615</v>
      </c>
      <c r="B731" t="s">
        <v>1616</v>
      </c>
      <c r="C731" t="str">
        <f t="shared" ref="C731:C794" si="378">B731</f>
        <v>Jessica Chaney</v>
      </c>
      <c r="D731" t="s">
        <v>22</v>
      </c>
      <c r="E731" s="3" t="str">
        <f t="shared" si="366"/>
        <v>Female</v>
      </c>
      <c r="F731" s="5">
        <v>20</v>
      </c>
      <c r="G731" t="s">
        <v>44</v>
      </c>
      <c r="H731" t="s">
        <v>24</v>
      </c>
      <c r="I731" t="s">
        <v>292</v>
      </c>
      <c r="J731" s="5">
        <v>0</v>
      </c>
      <c r="K731" s="3" t="str" cm="1">
        <f t="array" ref="K731">_xlfn.IFS(J731&lt;=5, "0-5", J731&lt;=10, "6-10", J731&lt;=15, "11-15", J731&lt;=20, "16-20", J731&gt;20, "21+")</f>
        <v>0-5</v>
      </c>
      <c r="L731">
        <v>75</v>
      </c>
      <c r="M731" s="4">
        <f>L731</f>
        <v>75</v>
      </c>
      <c r="N731" s="4">
        <f t="shared" si="367"/>
        <v>75</v>
      </c>
      <c r="O731" s="5">
        <v>3.2</v>
      </c>
      <c r="P731">
        <v>1</v>
      </c>
      <c r="Q731" t="s">
        <v>28</v>
      </c>
      <c r="R731" s="1">
        <v>0.74</v>
      </c>
      <c r="S731" s="6">
        <f t="shared" ref="S731:S743" si="379">R731</f>
        <v>0.74</v>
      </c>
    </row>
    <row r="732" spans="1:19" ht="13.5" x14ac:dyDescent="0.25">
      <c r="A732" t="s">
        <v>1617</v>
      </c>
      <c r="B732" t="s">
        <v>1618</v>
      </c>
      <c r="C732" t="str">
        <f t="shared" si="378"/>
        <v>John Gray</v>
      </c>
      <c r="D732" t="s">
        <v>311</v>
      </c>
      <c r="E732" s="3" t="str">
        <f t="shared" si="366"/>
        <v>Male</v>
      </c>
      <c r="F732" s="5">
        <v>42</v>
      </c>
      <c r="G732" t="s">
        <v>95</v>
      </c>
      <c r="H732" t="s">
        <v>96</v>
      </c>
      <c r="I732" t="s">
        <v>290</v>
      </c>
      <c r="J732" s="5">
        <v>7</v>
      </c>
      <c r="K732" s="3" t="str" cm="1">
        <f t="array" ref="K732">_xlfn.IFS(J732&lt;=5, "0-5", J732&lt;=10, "6-10", J732&lt;=15, "11-15", J732&lt;=20, "16-20", J732&gt;20, "21+")</f>
        <v>6-10</v>
      </c>
      <c r="L732" t="s">
        <v>78</v>
      </c>
      <c r="M732" s="4" t="str">
        <f t="shared" ref="M732" si="380">_xlfn.TEXTAFTER(L732, " ")</f>
        <v>20</v>
      </c>
      <c r="N732" s="4">
        <f t="shared" si="367"/>
        <v>20</v>
      </c>
      <c r="P732" t="b">
        <v>0</v>
      </c>
      <c r="Q732" t="s">
        <v>54</v>
      </c>
      <c r="R732" s="1">
        <v>1</v>
      </c>
      <c r="S732" s="6">
        <f t="shared" si="379"/>
        <v>1</v>
      </c>
    </row>
    <row r="733" spans="1:19" ht="13.5" x14ac:dyDescent="0.25">
      <c r="A733" t="s">
        <v>1619</v>
      </c>
      <c r="B733" t="s">
        <v>1620</v>
      </c>
      <c r="C733" t="str">
        <f t="shared" si="378"/>
        <v>Shane Booker</v>
      </c>
      <c r="D733" t="s">
        <v>328</v>
      </c>
      <c r="E733" s="3" t="str">
        <f t="shared" si="366"/>
        <v>Male</v>
      </c>
      <c r="F733" s="5">
        <v>21</v>
      </c>
      <c r="G733" t="s">
        <v>152</v>
      </c>
      <c r="H733" t="s">
        <v>39</v>
      </c>
      <c r="I733" t="s">
        <v>285</v>
      </c>
      <c r="J733" s="5">
        <v>3</v>
      </c>
      <c r="K733" s="3" t="str" cm="1">
        <f t="array" ref="K733">_xlfn.IFS(J733&lt;=5, "0-5", J733&lt;=10, "6-10", J733&lt;=15, "11-15", J733&lt;=20, "16-20", J733&gt;20, "21+")</f>
        <v>0-5</v>
      </c>
      <c r="L733">
        <v>40</v>
      </c>
      <c r="M733" s="4">
        <f t="shared" ref="M733:M735" si="381">L733</f>
        <v>40</v>
      </c>
      <c r="N733" s="4">
        <f t="shared" si="367"/>
        <v>40</v>
      </c>
      <c r="O733" s="5">
        <v>0</v>
      </c>
      <c r="P733">
        <v>0</v>
      </c>
      <c r="Q733" t="s">
        <v>54</v>
      </c>
      <c r="R733" s="1">
        <v>0.87</v>
      </c>
      <c r="S733" s="6">
        <f t="shared" si="379"/>
        <v>0.87</v>
      </c>
    </row>
    <row r="734" spans="1:19" ht="13.5" x14ac:dyDescent="0.25">
      <c r="A734" t="s">
        <v>1621</v>
      </c>
      <c r="B734" t="s">
        <v>1622</v>
      </c>
      <c r="C734" t="str">
        <f t="shared" si="378"/>
        <v>Kyle Hall</v>
      </c>
      <c r="D734" t="s">
        <v>43</v>
      </c>
      <c r="E734" s="3" t="str">
        <f t="shared" si="366"/>
        <v>Male</v>
      </c>
      <c r="F734" s="5">
        <v>39</v>
      </c>
      <c r="G734" t="s">
        <v>33</v>
      </c>
      <c r="H734" t="s">
        <v>34</v>
      </c>
      <c r="I734" t="s">
        <v>290</v>
      </c>
      <c r="J734" s="5">
        <v>21</v>
      </c>
      <c r="K734" s="3" t="str" cm="1">
        <f t="array" ref="K734">_xlfn.IFS(J734&lt;=5, "0-5", J734&lt;=10, "6-10", J734&lt;=15, "11-15", J734&lt;=20, "16-20", J734&gt;20, "21+")</f>
        <v>21+</v>
      </c>
      <c r="L734">
        <v>100</v>
      </c>
      <c r="M734" s="4">
        <f t="shared" si="381"/>
        <v>100</v>
      </c>
      <c r="N734" s="4">
        <f t="shared" si="367"/>
        <v>100</v>
      </c>
      <c r="O734" s="5">
        <v>2.2000000000000002</v>
      </c>
      <c r="P734">
        <v>0</v>
      </c>
      <c r="Q734" t="s">
        <v>54</v>
      </c>
      <c r="R734" s="1">
        <v>0.79</v>
      </c>
      <c r="S734" s="6">
        <f t="shared" si="379"/>
        <v>0.79</v>
      </c>
    </row>
    <row r="735" spans="1:19" ht="13.5" x14ac:dyDescent="0.25">
      <c r="A735" t="s">
        <v>1623</v>
      </c>
      <c r="B735" t="s">
        <v>1624</v>
      </c>
      <c r="C735" t="str">
        <f t="shared" si="378"/>
        <v>Ronald Munoz</v>
      </c>
      <c r="D735" t="s">
        <v>43</v>
      </c>
      <c r="E735" s="3" t="str">
        <f t="shared" si="366"/>
        <v>Male</v>
      </c>
      <c r="F735" s="5">
        <v>32</v>
      </c>
      <c r="G735" t="s">
        <v>146</v>
      </c>
      <c r="H735" t="s">
        <v>147</v>
      </c>
      <c r="I735" t="s">
        <v>292</v>
      </c>
      <c r="K735" s="3" t="str" cm="1">
        <f t="array" ref="K735">_xlfn.IFS(J735&lt;=5, "0-5", J735&lt;=10, "6-10", J735&lt;=15, "11-15", J735&lt;=20, "16-20", J735&gt;20, "21+")</f>
        <v>0-5</v>
      </c>
      <c r="L735">
        <v>30</v>
      </c>
      <c r="M735" s="4">
        <f t="shared" si="381"/>
        <v>30</v>
      </c>
      <c r="N735" s="4">
        <f t="shared" si="367"/>
        <v>30</v>
      </c>
      <c r="O735" s="5">
        <v>1.5</v>
      </c>
      <c r="P735">
        <v>0</v>
      </c>
      <c r="Q735" t="s">
        <v>54</v>
      </c>
      <c r="R735" s="1">
        <v>0.68</v>
      </c>
      <c r="S735" s="6">
        <f t="shared" si="379"/>
        <v>0.68</v>
      </c>
    </row>
    <row r="736" spans="1:19" ht="13.5" x14ac:dyDescent="0.25">
      <c r="A736" t="s">
        <v>1625</v>
      </c>
      <c r="B736" t="s">
        <v>1626</v>
      </c>
      <c r="C736" t="str">
        <f t="shared" si="378"/>
        <v>Christopher Long</v>
      </c>
      <c r="D736" t="s">
        <v>328</v>
      </c>
      <c r="E736" s="3" t="str">
        <f t="shared" si="366"/>
        <v>Male</v>
      </c>
      <c r="F736" s="5">
        <v>35</v>
      </c>
      <c r="G736" t="s">
        <v>33</v>
      </c>
      <c r="H736" t="s">
        <v>34</v>
      </c>
      <c r="I736" t="s">
        <v>291</v>
      </c>
      <c r="K736" s="3" t="str" cm="1">
        <f t="array" ref="K736">_xlfn.IFS(J736&lt;=5, "0-5", J736&lt;=10, "6-10", J736&lt;=15, "11-15", J736&lt;=20, "16-20", J736&gt;20, "21+")</f>
        <v>0-5</v>
      </c>
      <c r="L736" t="s">
        <v>40</v>
      </c>
      <c r="M736" s="4" t="str">
        <f t="shared" ref="M736" si="382">_xlfn.TEXTAFTER(L736, " ")</f>
        <v>100</v>
      </c>
      <c r="N736" s="4">
        <f t="shared" si="367"/>
        <v>100</v>
      </c>
      <c r="P736">
        <v>0</v>
      </c>
      <c r="Q736" t="s">
        <v>54</v>
      </c>
      <c r="R736" s="1">
        <v>0.84</v>
      </c>
      <c r="S736" s="6">
        <f t="shared" si="379"/>
        <v>0.84</v>
      </c>
    </row>
    <row r="737" spans="1:19" ht="13.5" x14ac:dyDescent="0.25">
      <c r="A737" t="s">
        <v>1627</v>
      </c>
      <c r="B737" t="s">
        <v>1628</v>
      </c>
      <c r="C737" t="str">
        <f t="shared" si="378"/>
        <v>Sandra Ali</v>
      </c>
      <c r="D737" t="s">
        <v>37</v>
      </c>
      <c r="E737" s="3" t="str">
        <f t="shared" si="366"/>
        <v>Female</v>
      </c>
      <c r="F737" s="5">
        <v>35</v>
      </c>
      <c r="G737" t="s">
        <v>132</v>
      </c>
      <c r="H737" t="s">
        <v>133</v>
      </c>
      <c r="I737" t="s">
        <v>286</v>
      </c>
      <c r="J737" s="5">
        <v>17</v>
      </c>
      <c r="K737" s="3" t="str" cm="1">
        <f t="array" ref="K737">_xlfn.IFS(J737&lt;=5, "0-5", J737&lt;=10, "6-10", J737&lt;=15, "11-15", J737&lt;=20, "16-20", J737&gt;20, "21+")</f>
        <v>16-20</v>
      </c>
      <c r="L737">
        <v>50</v>
      </c>
      <c r="M737" s="4">
        <f t="shared" ref="M737:M738" si="383">L737</f>
        <v>50</v>
      </c>
      <c r="N737" s="4">
        <f t="shared" si="367"/>
        <v>50</v>
      </c>
      <c r="O737" s="5">
        <v>3.1</v>
      </c>
      <c r="P737">
        <v>0</v>
      </c>
      <c r="Q737" t="s">
        <v>54</v>
      </c>
      <c r="R737" s="1">
        <v>0.71</v>
      </c>
      <c r="S737" s="6">
        <f t="shared" si="379"/>
        <v>0.71</v>
      </c>
    </row>
    <row r="738" spans="1:19" ht="13.5" x14ac:dyDescent="0.25">
      <c r="A738" t="s">
        <v>1629</v>
      </c>
      <c r="B738" t="s">
        <v>1630</v>
      </c>
      <c r="C738" t="str">
        <f t="shared" si="378"/>
        <v>Jessica Garza</v>
      </c>
      <c r="D738" t="s">
        <v>21</v>
      </c>
      <c r="E738" s="3" t="str">
        <f t="shared" si="366"/>
        <v>Female</v>
      </c>
      <c r="F738" s="5">
        <v>23</v>
      </c>
      <c r="G738" t="s">
        <v>23</v>
      </c>
      <c r="H738" t="s">
        <v>24</v>
      </c>
      <c r="I738" t="s">
        <v>286</v>
      </c>
      <c r="J738" s="5">
        <v>0</v>
      </c>
      <c r="K738" s="3" t="str" cm="1">
        <f t="array" ref="K738">_xlfn.IFS(J738&lt;=5, "0-5", J738&lt;=10, "6-10", J738&lt;=15, "11-15", J738&lt;=20, "16-20", J738&gt;20, "21+")</f>
        <v>0-5</v>
      </c>
      <c r="L738">
        <v>75</v>
      </c>
      <c r="M738" s="4">
        <f t="shared" si="383"/>
        <v>75</v>
      </c>
      <c r="N738" s="4">
        <f t="shared" si="367"/>
        <v>75</v>
      </c>
      <c r="O738" s="5">
        <v>0</v>
      </c>
      <c r="P738" t="s">
        <v>81</v>
      </c>
      <c r="Q738" t="s">
        <v>54</v>
      </c>
      <c r="R738" s="1">
        <v>0.92</v>
      </c>
      <c r="S738" s="6">
        <f t="shared" si="379"/>
        <v>0.92</v>
      </c>
    </row>
    <row r="739" spans="1:19" ht="13.5" x14ac:dyDescent="0.25">
      <c r="A739" t="s">
        <v>148</v>
      </c>
      <c r="B739" t="s">
        <v>149</v>
      </c>
      <c r="C739" t="str">
        <f t="shared" si="378"/>
        <v>Gregory Waters</v>
      </c>
      <c r="D739" t="s">
        <v>328</v>
      </c>
      <c r="E739" s="3" t="str">
        <f t="shared" si="366"/>
        <v>Male</v>
      </c>
      <c r="F739" s="5">
        <v>26</v>
      </c>
      <c r="G739" t="s">
        <v>52</v>
      </c>
      <c r="H739" t="s">
        <v>53</v>
      </c>
      <c r="I739" t="s">
        <v>25</v>
      </c>
      <c r="J739" s="5">
        <v>6</v>
      </c>
      <c r="K739" s="3" t="str" cm="1">
        <f t="array" ref="K739">_xlfn.IFS(J739&lt;=5, "0-5", J739&lt;=10, "6-10", J739&lt;=15, "11-15", J739&lt;=20, "16-20", J739&gt;20, "21+")</f>
        <v>6-10</v>
      </c>
      <c r="L739" t="s">
        <v>40</v>
      </c>
      <c r="M739" s="4" t="str">
        <f t="shared" ref="M739" si="384">_xlfn.TEXTAFTER(L739, " ")</f>
        <v>100</v>
      </c>
      <c r="N739" s="4">
        <f t="shared" si="367"/>
        <v>100</v>
      </c>
      <c r="P739" t="s">
        <v>81</v>
      </c>
      <c r="Q739" t="s">
        <v>54</v>
      </c>
      <c r="R739" s="1">
        <v>0.69</v>
      </c>
      <c r="S739" s="6">
        <f t="shared" si="379"/>
        <v>0.69</v>
      </c>
    </row>
    <row r="740" spans="1:19" ht="13.5" x14ac:dyDescent="0.25">
      <c r="A740" t="s">
        <v>1631</v>
      </c>
      <c r="B740" t="s">
        <v>1632</v>
      </c>
      <c r="C740" t="str">
        <f t="shared" si="378"/>
        <v>Misty Adams</v>
      </c>
      <c r="D740" t="s">
        <v>301</v>
      </c>
      <c r="E740" s="3" t="str">
        <f t="shared" si="366"/>
        <v>Female</v>
      </c>
      <c r="F740" s="5">
        <v>34</v>
      </c>
      <c r="G740" t="s">
        <v>125</v>
      </c>
      <c r="H740" t="s">
        <v>39</v>
      </c>
      <c r="I740" t="s">
        <v>284</v>
      </c>
      <c r="J740" s="5">
        <v>3</v>
      </c>
      <c r="K740" s="3" t="str" cm="1">
        <f t="array" ref="K740">_xlfn.IFS(J740&lt;=5, "0-5", J740&lt;=10, "6-10", J740&lt;=15, "11-15", J740&lt;=20, "16-20", J740&gt;20, "21+")</f>
        <v>0-5</v>
      </c>
      <c r="N740" s="4" t="str">
        <f t="shared" si="367"/>
        <v>NA</v>
      </c>
      <c r="O740" s="5">
        <v>0</v>
      </c>
      <c r="P740">
        <v>1</v>
      </c>
      <c r="Q740" t="s">
        <v>28</v>
      </c>
      <c r="R740" s="1">
        <v>0.71</v>
      </c>
      <c r="S740" s="6">
        <f t="shared" si="379"/>
        <v>0.71</v>
      </c>
    </row>
    <row r="741" spans="1:19" ht="13.5" x14ac:dyDescent="0.25">
      <c r="A741" t="s">
        <v>1633</v>
      </c>
      <c r="B741" t="s">
        <v>1634</v>
      </c>
      <c r="C741" t="str">
        <f t="shared" si="378"/>
        <v>Megan Brown</v>
      </c>
      <c r="D741" t="s">
        <v>22</v>
      </c>
      <c r="E741" s="3" t="str">
        <f t="shared" si="366"/>
        <v>Female</v>
      </c>
      <c r="F741" s="5">
        <v>34</v>
      </c>
      <c r="G741" t="s">
        <v>33</v>
      </c>
      <c r="H741" t="s">
        <v>34</v>
      </c>
      <c r="I741" t="s">
        <v>292</v>
      </c>
      <c r="J741" s="5">
        <v>3</v>
      </c>
      <c r="K741" s="3" t="str" cm="1">
        <f t="array" ref="K741">_xlfn.IFS(J741&lt;=5, "0-5", J741&lt;=10, "6-10", J741&lt;=15, "11-15", J741&lt;=20, "16-20", J741&gt;20, "21+")</f>
        <v>0-5</v>
      </c>
      <c r="N741" s="4" t="str">
        <f t="shared" si="367"/>
        <v>NA</v>
      </c>
      <c r="P741" t="b">
        <v>0</v>
      </c>
      <c r="Q741" t="s">
        <v>54</v>
      </c>
      <c r="R741" s="1">
        <v>0.77</v>
      </c>
      <c r="S741" s="6">
        <f t="shared" si="379"/>
        <v>0.77</v>
      </c>
    </row>
    <row r="742" spans="1:19" ht="13.5" x14ac:dyDescent="0.25">
      <c r="A742" t="s">
        <v>1635</v>
      </c>
      <c r="B742" t="s">
        <v>1636</v>
      </c>
      <c r="C742" t="str">
        <f t="shared" si="378"/>
        <v>Gregory Brown</v>
      </c>
      <c r="D742" t="s">
        <v>43</v>
      </c>
      <c r="E742" s="3" t="str">
        <f t="shared" si="366"/>
        <v>Male</v>
      </c>
      <c r="F742" s="5">
        <v>57</v>
      </c>
      <c r="G742" t="s">
        <v>253</v>
      </c>
      <c r="H742" t="s">
        <v>254</v>
      </c>
      <c r="I742" t="s">
        <v>290</v>
      </c>
      <c r="J742" s="5">
        <v>31</v>
      </c>
      <c r="K742" s="3" t="str" cm="1">
        <f t="array" ref="K742">_xlfn.IFS(J742&lt;=5, "0-5", J742&lt;=10, "6-10", J742&lt;=15, "11-15", J742&lt;=20, "16-20", J742&gt;20, "21+")</f>
        <v>21+</v>
      </c>
      <c r="L742">
        <v>50</v>
      </c>
      <c r="M742" s="4">
        <f>L742</f>
        <v>50</v>
      </c>
      <c r="N742" s="4">
        <f t="shared" si="367"/>
        <v>50</v>
      </c>
      <c r="O742" s="5">
        <v>3</v>
      </c>
      <c r="P742" t="b">
        <v>1</v>
      </c>
      <c r="Q742" t="s">
        <v>28</v>
      </c>
      <c r="R742" s="1">
        <v>0.87</v>
      </c>
      <c r="S742" s="6">
        <f t="shared" si="379"/>
        <v>0.87</v>
      </c>
    </row>
    <row r="743" spans="1:19" ht="13.5" x14ac:dyDescent="0.25">
      <c r="A743" t="s">
        <v>1637</v>
      </c>
      <c r="B743" t="s">
        <v>1638</v>
      </c>
      <c r="C743" t="str">
        <f t="shared" si="378"/>
        <v>Scott Alexander MD</v>
      </c>
      <c r="D743" t="s">
        <v>311</v>
      </c>
      <c r="E743" s="3" t="str">
        <f t="shared" si="366"/>
        <v>Male</v>
      </c>
      <c r="F743" s="5">
        <v>46</v>
      </c>
      <c r="G743" t="s">
        <v>125</v>
      </c>
      <c r="H743" t="s">
        <v>39</v>
      </c>
      <c r="I743" t="s">
        <v>290</v>
      </c>
      <c r="J743" s="5">
        <v>5</v>
      </c>
      <c r="K743" s="3" t="str" cm="1">
        <f t="array" ref="K743">_xlfn.IFS(J743&lt;=5, "0-5", J743&lt;=10, "6-10", J743&lt;=15, "11-15", J743&lt;=20, "16-20", J743&gt;20, "21+")</f>
        <v>0-5</v>
      </c>
      <c r="L743" s="2">
        <v>30</v>
      </c>
      <c r="M743" s="4" t="str">
        <f>SUBSTITUTE(L743, "$","")</f>
        <v>30</v>
      </c>
      <c r="N743" s="4">
        <f t="shared" si="367"/>
        <v>30</v>
      </c>
      <c r="O743" s="5">
        <v>2.6</v>
      </c>
      <c r="P743" t="s">
        <v>81</v>
      </c>
      <c r="Q743" t="s">
        <v>54</v>
      </c>
      <c r="R743" s="1">
        <v>0.76</v>
      </c>
      <c r="S743" s="6">
        <f t="shared" si="379"/>
        <v>0.76</v>
      </c>
    </row>
    <row r="744" spans="1:19" ht="13.5" x14ac:dyDescent="0.25">
      <c r="A744" t="s">
        <v>144</v>
      </c>
      <c r="B744" t="s">
        <v>145</v>
      </c>
      <c r="C744" t="str">
        <f t="shared" si="378"/>
        <v>Eric Nguyen</v>
      </c>
      <c r="D744" t="s">
        <v>31</v>
      </c>
      <c r="E744" s="3" t="str">
        <f t="shared" si="366"/>
        <v>Male</v>
      </c>
      <c r="F744" s="5">
        <v>55</v>
      </c>
      <c r="G744" t="s">
        <v>146</v>
      </c>
      <c r="H744" t="s">
        <v>147</v>
      </c>
      <c r="I744" t="s">
        <v>25</v>
      </c>
      <c r="J744" s="5">
        <v>37</v>
      </c>
      <c r="K744" s="3" t="str" cm="1">
        <f t="array" ref="K744">_xlfn.IFS(J744&lt;=5, "0-5", J744&lt;=10, "6-10", J744&lt;=15, "11-15", J744&lt;=20, "16-20", J744&gt;20, "21+")</f>
        <v>21+</v>
      </c>
      <c r="L744" t="s">
        <v>92</v>
      </c>
      <c r="M744" s="4" t="str">
        <f t="shared" ref="M744:M746" si="385">_xlfn.TEXTAFTER(L744, " ")</f>
        <v>75</v>
      </c>
      <c r="N744" s="4">
        <f t="shared" si="367"/>
        <v>75</v>
      </c>
      <c r="O744" s="5">
        <v>4.0999999999999996</v>
      </c>
      <c r="P744" t="s">
        <v>81</v>
      </c>
      <c r="Q744" t="s">
        <v>54</v>
      </c>
      <c r="S744" s="7"/>
    </row>
    <row r="745" spans="1:19" ht="13.5" x14ac:dyDescent="0.25">
      <c r="A745" t="s">
        <v>1639</v>
      </c>
      <c r="B745" t="s">
        <v>1640</v>
      </c>
      <c r="C745" t="str">
        <f t="shared" si="378"/>
        <v>Wendy Boyer</v>
      </c>
      <c r="D745" t="s">
        <v>21</v>
      </c>
      <c r="E745" s="3" t="str">
        <f t="shared" si="366"/>
        <v>Female</v>
      </c>
      <c r="F745" s="5">
        <v>32</v>
      </c>
      <c r="G745" t="s">
        <v>38</v>
      </c>
      <c r="H745" t="s">
        <v>39</v>
      </c>
      <c r="I745" t="s">
        <v>283</v>
      </c>
      <c r="J745" s="5">
        <v>10</v>
      </c>
      <c r="K745" s="3" t="str" cm="1">
        <f t="array" ref="K745">_xlfn.IFS(J745&lt;=5, "0-5", J745&lt;=10, "6-10", J745&lt;=15, "11-15", J745&lt;=20, "16-20", J745&gt;20, "21+")</f>
        <v>6-10</v>
      </c>
      <c r="L745" t="s">
        <v>112</v>
      </c>
      <c r="M745" s="4" t="str">
        <f t="shared" si="385"/>
        <v>50</v>
      </c>
      <c r="N745" s="4">
        <f t="shared" si="367"/>
        <v>50</v>
      </c>
      <c r="O745" s="5">
        <v>1.5</v>
      </c>
      <c r="P745" t="b">
        <v>0</v>
      </c>
      <c r="Q745" t="s">
        <v>54</v>
      </c>
      <c r="R745" s="1">
        <v>0.65</v>
      </c>
      <c r="S745" s="6">
        <f t="shared" ref="S745:S746" si="386">R745</f>
        <v>0.65</v>
      </c>
    </row>
    <row r="746" spans="1:19" ht="13.5" x14ac:dyDescent="0.25">
      <c r="A746" t="s">
        <v>142</v>
      </c>
      <c r="B746" t="s">
        <v>143</v>
      </c>
      <c r="C746" t="str">
        <f t="shared" si="378"/>
        <v>Mark Clark</v>
      </c>
      <c r="D746" t="s">
        <v>328</v>
      </c>
      <c r="E746" s="3" t="str">
        <f t="shared" si="366"/>
        <v>Male</v>
      </c>
      <c r="F746" s="5">
        <v>53</v>
      </c>
      <c r="G746" t="s">
        <v>104</v>
      </c>
      <c r="H746" t="s">
        <v>105</v>
      </c>
      <c r="I746" t="s">
        <v>25</v>
      </c>
      <c r="J746" s="5">
        <v>28</v>
      </c>
      <c r="K746" s="3" t="str" cm="1">
        <f t="array" ref="K746">_xlfn.IFS(J746&lt;=5, "0-5", J746&lt;=10, "6-10", J746&lt;=15, "11-15", J746&lt;=20, "16-20", J746&gt;20, "21+")</f>
        <v>21+</v>
      </c>
      <c r="L746" t="s">
        <v>112</v>
      </c>
      <c r="M746" s="4" t="str">
        <f t="shared" si="385"/>
        <v>50</v>
      </c>
      <c r="N746" s="4">
        <f t="shared" si="367"/>
        <v>50</v>
      </c>
      <c r="O746" s="5">
        <v>2.9</v>
      </c>
      <c r="P746" t="s">
        <v>27</v>
      </c>
      <c r="Q746" t="s">
        <v>28</v>
      </c>
      <c r="R746" s="1">
        <v>0.82</v>
      </c>
      <c r="S746" s="6">
        <f t="shared" si="386"/>
        <v>0.82</v>
      </c>
    </row>
    <row r="747" spans="1:19" ht="13.5" x14ac:dyDescent="0.25">
      <c r="A747" t="s">
        <v>140</v>
      </c>
      <c r="B747" t="s">
        <v>141</v>
      </c>
      <c r="C747" t="str">
        <f t="shared" si="378"/>
        <v>Carl Kline</v>
      </c>
      <c r="D747" t="s">
        <v>31</v>
      </c>
      <c r="E747" s="3" t="str">
        <f t="shared" si="366"/>
        <v>Male</v>
      </c>
      <c r="F747" s="5">
        <v>59</v>
      </c>
      <c r="G747" t="s">
        <v>44</v>
      </c>
      <c r="H747" t="s">
        <v>24</v>
      </c>
      <c r="I747" t="s">
        <v>25</v>
      </c>
      <c r="J747" s="5">
        <v>0</v>
      </c>
      <c r="K747" s="3" t="str" cm="1">
        <f t="array" ref="K747">_xlfn.IFS(J747&lt;=5, "0-5", J747&lt;=10, "6-10", J747&lt;=15, "11-15", J747&lt;=20, "16-20", J747&gt;20, "21+")</f>
        <v>0-5</v>
      </c>
      <c r="L747">
        <v>100</v>
      </c>
      <c r="M747" s="4">
        <f>L747</f>
        <v>100</v>
      </c>
      <c r="N747" s="4">
        <f t="shared" si="367"/>
        <v>100</v>
      </c>
      <c r="O747" s="5">
        <v>0</v>
      </c>
      <c r="P747" t="s">
        <v>57</v>
      </c>
      <c r="Q747" t="s">
        <v>28</v>
      </c>
      <c r="R747">
        <v>87</v>
      </c>
      <c r="S747" s="6">
        <f>R747/100</f>
        <v>0.87</v>
      </c>
    </row>
    <row r="748" spans="1:19" ht="13.5" x14ac:dyDescent="0.25">
      <c r="A748" t="s">
        <v>1641</v>
      </c>
      <c r="B748" t="s">
        <v>1642</v>
      </c>
      <c r="C748" t="str">
        <f t="shared" si="378"/>
        <v>Linda Williams</v>
      </c>
      <c r="D748" t="s">
        <v>301</v>
      </c>
      <c r="E748" s="3" t="str">
        <f t="shared" si="366"/>
        <v>Female</v>
      </c>
      <c r="F748" s="5">
        <v>44</v>
      </c>
      <c r="G748" t="s">
        <v>52</v>
      </c>
      <c r="H748" t="s">
        <v>53</v>
      </c>
      <c r="I748" t="s">
        <v>284</v>
      </c>
      <c r="J748" s="5">
        <v>19</v>
      </c>
      <c r="K748" s="3" t="str" cm="1">
        <f t="array" ref="K748">_xlfn.IFS(J748&lt;=5, "0-5", J748&lt;=10, "6-10", J748&lt;=15, "11-15", J748&lt;=20, "16-20", J748&gt;20, "21+")</f>
        <v>16-20</v>
      </c>
      <c r="L748" s="2">
        <v>40</v>
      </c>
      <c r="M748" s="4" t="str">
        <f>SUBSTITUTE(L748, "$","")</f>
        <v>40</v>
      </c>
      <c r="N748" s="4">
        <f t="shared" si="367"/>
        <v>40</v>
      </c>
      <c r="O748" s="5">
        <v>4.9000000000000004</v>
      </c>
      <c r="P748" t="s">
        <v>64</v>
      </c>
      <c r="Q748" t="s">
        <v>54</v>
      </c>
      <c r="R748" s="1">
        <v>1</v>
      </c>
      <c r="S748" s="6">
        <f>R748</f>
        <v>1</v>
      </c>
    </row>
    <row r="749" spans="1:19" ht="13.5" x14ac:dyDescent="0.25">
      <c r="A749" t="s">
        <v>1643</v>
      </c>
      <c r="B749" t="s">
        <v>1644</v>
      </c>
      <c r="C749" t="str">
        <f t="shared" si="378"/>
        <v>Jason Edwards</v>
      </c>
      <c r="D749" t="s">
        <v>32</v>
      </c>
      <c r="E749" s="3" t="str">
        <f t="shared" si="366"/>
        <v>Male</v>
      </c>
      <c r="F749" s="5">
        <v>35</v>
      </c>
      <c r="G749" t="s">
        <v>117</v>
      </c>
      <c r="H749" t="s">
        <v>118</v>
      </c>
      <c r="I749" t="s">
        <v>292</v>
      </c>
      <c r="J749" s="5">
        <v>9</v>
      </c>
      <c r="K749" s="3" t="str" cm="1">
        <f t="array" ref="K749">_xlfn.IFS(J749&lt;=5, "0-5", J749&lt;=10, "6-10", J749&lt;=15, "11-15", J749&lt;=20, "16-20", J749&gt;20, "21+")</f>
        <v>6-10</v>
      </c>
      <c r="L749" t="s">
        <v>112</v>
      </c>
      <c r="M749" s="4" t="str">
        <f t="shared" ref="M749" si="387">_xlfn.TEXTAFTER(L749, " ")</f>
        <v>50</v>
      </c>
      <c r="N749" s="4">
        <f t="shared" si="367"/>
        <v>50</v>
      </c>
      <c r="O749" s="5">
        <v>3</v>
      </c>
      <c r="P749" t="s">
        <v>64</v>
      </c>
      <c r="Q749" t="s">
        <v>54</v>
      </c>
      <c r="R749">
        <v>71</v>
      </c>
      <c r="S749" s="6">
        <f t="shared" ref="S749:S751" si="388">R749/100</f>
        <v>0.71</v>
      </c>
    </row>
    <row r="750" spans="1:19" ht="13.5" x14ac:dyDescent="0.25">
      <c r="A750" t="s">
        <v>1645</v>
      </c>
      <c r="B750" t="s">
        <v>1646</v>
      </c>
      <c r="C750" t="str">
        <f t="shared" si="378"/>
        <v>Madison Mcintosh</v>
      </c>
      <c r="D750" t="s">
        <v>37</v>
      </c>
      <c r="E750" s="3" t="str">
        <f t="shared" si="366"/>
        <v>Female</v>
      </c>
      <c r="F750" s="5">
        <v>42</v>
      </c>
      <c r="G750" t="s">
        <v>165</v>
      </c>
      <c r="H750" t="s">
        <v>166</v>
      </c>
      <c r="I750" t="s">
        <v>284</v>
      </c>
      <c r="J750" s="5">
        <v>5</v>
      </c>
      <c r="K750" s="3" t="str" cm="1">
        <f t="array" ref="K750">_xlfn.IFS(J750&lt;=5, "0-5", J750&lt;=10, "6-10", J750&lt;=15, "11-15", J750&lt;=20, "16-20", J750&gt;20, "21+")</f>
        <v>0-5</v>
      </c>
      <c r="L750">
        <v>30</v>
      </c>
      <c r="M750" s="4">
        <f>L750</f>
        <v>30</v>
      </c>
      <c r="N750" s="4">
        <f t="shared" si="367"/>
        <v>30</v>
      </c>
      <c r="O750" s="5">
        <v>4.9000000000000004</v>
      </c>
      <c r="P750">
        <v>1</v>
      </c>
      <c r="Q750" t="s">
        <v>28</v>
      </c>
      <c r="R750">
        <v>87</v>
      </c>
      <c r="S750" s="6">
        <f t="shared" si="388"/>
        <v>0.87</v>
      </c>
    </row>
    <row r="751" spans="1:19" ht="13.5" x14ac:dyDescent="0.25">
      <c r="A751" t="s">
        <v>1647</v>
      </c>
      <c r="B751" t="s">
        <v>1648</v>
      </c>
      <c r="C751" t="str">
        <f t="shared" si="378"/>
        <v>Desiree Winters</v>
      </c>
      <c r="D751" t="s">
        <v>37</v>
      </c>
      <c r="E751" s="3" t="str">
        <f t="shared" si="366"/>
        <v>Female</v>
      </c>
      <c r="F751" s="5">
        <v>58</v>
      </c>
      <c r="G751" t="s">
        <v>62</v>
      </c>
      <c r="H751" t="s">
        <v>63</v>
      </c>
      <c r="I751" t="s">
        <v>292</v>
      </c>
      <c r="J751" s="5">
        <v>0</v>
      </c>
      <c r="K751" s="3" t="str" cm="1">
        <f t="array" ref="K751">_xlfn.IFS(J751&lt;=5, "0-5", J751&lt;=10, "6-10", J751&lt;=15, "11-15", J751&lt;=20, "16-20", J751&gt;20, "21+")</f>
        <v>0-5</v>
      </c>
      <c r="L751" t="s">
        <v>72</v>
      </c>
      <c r="M751" s="4" t="str">
        <f t="shared" ref="M751:M752" si="389">_xlfn.TEXTAFTER(L751, " ")</f>
        <v>30</v>
      </c>
      <c r="N751" s="4">
        <f t="shared" si="367"/>
        <v>30</v>
      </c>
      <c r="O751" s="5">
        <v>4.5999999999999996</v>
      </c>
      <c r="P751">
        <v>0</v>
      </c>
      <c r="Q751" t="s">
        <v>54</v>
      </c>
      <c r="R751">
        <v>70</v>
      </c>
      <c r="S751" s="6">
        <f t="shared" si="388"/>
        <v>0.7</v>
      </c>
    </row>
    <row r="752" spans="1:19" ht="13.5" x14ac:dyDescent="0.25">
      <c r="A752" t="s">
        <v>138</v>
      </c>
      <c r="B752" t="s">
        <v>139</v>
      </c>
      <c r="C752" t="str">
        <f t="shared" si="378"/>
        <v>Ryan Taylor</v>
      </c>
      <c r="D752" t="s">
        <v>311</v>
      </c>
      <c r="E752" s="3" t="str">
        <f t="shared" si="366"/>
        <v>Male</v>
      </c>
      <c r="F752" s="5">
        <v>41</v>
      </c>
      <c r="G752" t="s">
        <v>52</v>
      </c>
      <c r="H752" t="s">
        <v>53</v>
      </c>
      <c r="I752" t="s">
        <v>25</v>
      </c>
      <c r="J752" s="5">
        <v>21</v>
      </c>
      <c r="K752" s="3" t="str" cm="1">
        <f t="array" ref="K752">_xlfn.IFS(J752&lt;=5, "0-5", J752&lt;=10, "6-10", J752&lt;=15, "11-15", J752&lt;=20, "16-20", J752&gt;20, "21+")</f>
        <v>21+</v>
      </c>
      <c r="L752" t="s">
        <v>40</v>
      </c>
      <c r="M752" s="4" t="str">
        <f t="shared" si="389"/>
        <v>100</v>
      </c>
      <c r="N752" s="4">
        <f t="shared" si="367"/>
        <v>100</v>
      </c>
      <c r="O752" s="5">
        <v>2.2000000000000002</v>
      </c>
      <c r="P752">
        <v>1</v>
      </c>
      <c r="Q752" t="s">
        <v>28</v>
      </c>
      <c r="R752" s="1">
        <v>0.83</v>
      </c>
      <c r="S752" s="6">
        <f t="shared" ref="S752:S757" si="390">R752</f>
        <v>0.83</v>
      </c>
    </row>
    <row r="753" spans="1:19" ht="13.5" x14ac:dyDescent="0.25">
      <c r="A753" t="s">
        <v>1649</v>
      </c>
      <c r="B753" t="s">
        <v>1650</v>
      </c>
      <c r="C753" t="str">
        <f t="shared" si="378"/>
        <v>Patricia Scott</v>
      </c>
      <c r="D753" t="s">
        <v>304</v>
      </c>
      <c r="E753" s="3" t="str">
        <f t="shared" si="366"/>
        <v>Female</v>
      </c>
      <c r="G753" t="s">
        <v>23</v>
      </c>
      <c r="H753" t="s">
        <v>24</v>
      </c>
      <c r="I753" t="s">
        <v>290</v>
      </c>
      <c r="J753" s="5">
        <v>0</v>
      </c>
      <c r="K753" s="3" t="str" cm="1">
        <f t="array" ref="K753">_xlfn.IFS(J753&lt;=5, "0-5", J753&lt;=10, "6-10", J753&lt;=15, "11-15", J753&lt;=20, "16-20", J753&gt;20, "21+")</f>
        <v>0-5</v>
      </c>
      <c r="L753">
        <v>40</v>
      </c>
      <c r="M753" s="4">
        <f t="shared" ref="M753:M755" si="391">L753</f>
        <v>40</v>
      </c>
      <c r="N753" s="4">
        <f t="shared" si="367"/>
        <v>40</v>
      </c>
      <c r="P753" t="s">
        <v>57</v>
      </c>
      <c r="Q753" t="s">
        <v>28</v>
      </c>
      <c r="R753" s="1">
        <v>0.74</v>
      </c>
      <c r="S753" s="6">
        <f t="shared" si="390"/>
        <v>0.74</v>
      </c>
    </row>
    <row r="754" spans="1:19" ht="13.5" x14ac:dyDescent="0.25">
      <c r="A754" t="s">
        <v>1651</v>
      </c>
      <c r="B754" t="s">
        <v>1652</v>
      </c>
      <c r="C754" t="str">
        <f t="shared" si="378"/>
        <v>Erin Jimenez</v>
      </c>
      <c r="D754" t="s">
        <v>21</v>
      </c>
      <c r="E754" s="3" t="str">
        <f t="shared" si="366"/>
        <v>Female</v>
      </c>
      <c r="F754" s="5">
        <v>23</v>
      </c>
      <c r="G754" t="s">
        <v>125</v>
      </c>
      <c r="H754" t="s">
        <v>39</v>
      </c>
      <c r="I754" t="s">
        <v>292</v>
      </c>
      <c r="J754" s="5">
        <v>0</v>
      </c>
      <c r="K754" s="3" t="str" cm="1">
        <f t="array" ref="K754">_xlfn.IFS(J754&lt;=5, "0-5", J754&lt;=10, "6-10", J754&lt;=15, "11-15", J754&lt;=20, "16-20", J754&gt;20, "21+")</f>
        <v>0-5</v>
      </c>
      <c r="L754">
        <v>30</v>
      </c>
      <c r="M754" s="4">
        <f t="shared" si="391"/>
        <v>30</v>
      </c>
      <c r="N754" s="4">
        <f t="shared" si="367"/>
        <v>30</v>
      </c>
      <c r="O754" s="5">
        <v>1.1000000000000001</v>
      </c>
      <c r="P754" t="s">
        <v>27</v>
      </c>
      <c r="Q754" t="s">
        <v>28</v>
      </c>
      <c r="R754" s="1">
        <v>0.86</v>
      </c>
      <c r="S754" s="6">
        <f t="shared" si="390"/>
        <v>0.86</v>
      </c>
    </row>
    <row r="755" spans="1:19" ht="13.5" x14ac:dyDescent="0.25">
      <c r="A755" t="s">
        <v>1653</v>
      </c>
      <c r="B755" t="s">
        <v>1654</v>
      </c>
      <c r="C755" t="str">
        <f t="shared" si="378"/>
        <v>Anthony Krause</v>
      </c>
      <c r="D755" t="s">
        <v>328</v>
      </c>
      <c r="E755" s="3" t="str">
        <f t="shared" si="366"/>
        <v>Male</v>
      </c>
      <c r="F755" s="5">
        <v>51</v>
      </c>
      <c r="G755" t="s">
        <v>165</v>
      </c>
      <c r="H755" t="s">
        <v>166</v>
      </c>
      <c r="I755" t="s">
        <v>292</v>
      </c>
      <c r="J755" s="5">
        <v>17</v>
      </c>
      <c r="K755" s="3" t="str" cm="1">
        <f t="array" ref="K755">_xlfn.IFS(J755&lt;=5, "0-5", J755&lt;=10, "6-10", J755&lt;=15, "11-15", J755&lt;=20, "16-20", J755&gt;20, "21+")</f>
        <v>16-20</v>
      </c>
      <c r="L755">
        <v>40</v>
      </c>
      <c r="M755" s="4">
        <f t="shared" si="391"/>
        <v>40</v>
      </c>
      <c r="N755" s="4">
        <f t="shared" si="367"/>
        <v>40</v>
      </c>
      <c r="O755" s="5">
        <v>4.5</v>
      </c>
      <c r="P755">
        <v>1</v>
      </c>
      <c r="Q755" t="s">
        <v>28</v>
      </c>
      <c r="R755" s="1">
        <v>0.72</v>
      </c>
      <c r="S755" s="6">
        <f t="shared" si="390"/>
        <v>0.72</v>
      </c>
    </row>
    <row r="756" spans="1:19" ht="13.5" x14ac:dyDescent="0.25">
      <c r="A756" t="s">
        <v>130</v>
      </c>
      <c r="B756" t="s">
        <v>131</v>
      </c>
      <c r="C756" t="str">
        <f t="shared" si="378"/>
        <v>Diane Dean</v>
      </c>
      <c r="D756" t="s">
        <v>21</v>
      </c>
      <c r="E756" s="3" t="str">
        <f t="shared" si="366"/>
        <v>Female</v>
      </c>
      <c r="F756" s="5">
        <v>42</v>
      </c>
      <c r="G756" t="s">
        <v>132</v>
      </c>
      <c r="H756" t="s">
        <v>133</v>
      </c>
      <c r="I756" t="s">
        <v>25</v>
      </c>
      <c r="J756" s="5">
        <v>21</v>
      </c>
      <c r="K756" s="3" t="str" cm="1">
        <f t="array" ref="K756">_xlfn.IFS(J756&lt;=5, "0-5", J756&lt;=10, "6-10", J756&lt;=15, "11-15", J756&lt;=20, "16-20", J756&gt;20, "21+")</f>
        <v>21+</v>
      </c>
      <c r="N756" s="4" t="str">
        <f t="shared" si="367"/>
        <v>NA</v>
      </c>
      <c r="O756" s="5">
        <v>2.5</v>
      </c>
      <c r="P756" t="b">
        <v>1</v>
      </c>
      <c r="Q756" t="s">
        <v>28</v>
      </c>
      <c r="R756" s="1">
        <v>0.73</v>
      </c>
      <c r="S756" s="6">
        <f t="shared" si="390"/>
        <v>0.73</v>
      </c>
    </row>
    <row r="757" spans="1:19" ht="13.5" x14ac:dyDescent="0.25">
      <c r="A757" t="s">
        <v>1655</v>
      </c>
      <c r="B757" t="s">
        <v>1656</v>
      </c>
      <c r="C757" t="str">
        <f t="shared" si="378"/>
        <v>Stuart Mckinney</v>
      </c>
      <c r="D757" t="s">
        <v>311</v>
      </c>
      <c r="E757" s="3" t="str">
        <f t="shared" si="366"/>
        <v>Male</v>
      </c>
      <c r="F757" s="5">
        <v>26</v>
      </c>
      <c r="G757" t="s">
        <v>88</v>
      </c>
      <c r="H757" t="s">
        <v>89</v>
      </c>
      <c r="I757" t="s">
        <v>291</v>
      </c>
      <c r="J757" s="5">
        <v>7</v>
      </c>
      <c r="K757" s="3" t="str" cm="1">
        <f t="array" ref="K757">_xlfn.IFS(J757&lt;=5, "0-5", J757&lt;=10, "6-10", J757&lt;=15, "11-15", J757&lt;=20, "16-20", J757&gt;20, "21+")</f>
        <v>6-10</v>
      </c>
      <c r="L757" t="s">
        <v>92</v>
      </c>
      <c r="M757" s="4" t="str">
        <f t="shared" ref="M757" si="392">_xlfn.TEXTAFTER(L757, " ")</f>
        <v>75</v>
      </c>
      <c r="N757" s="4">
        <f t="shared" si="367"/>
        <v>75</v>
      </c>
      <c r="O757" s="5">
        <v>2.9</v>
      </c>
      <c r="P757">
        <v>0</v>
      </c>
      <c r="Q757" t="s">
        <v>54</v>
      </c>
      <c r="R757" s="1">
        <v>0.78</v>
      </c>
      <c r="S757" s="6">
        <f t="shared" si="390"/>
        <v>0.78</v>
      </c>
    </row>
    <row r="758" spans="1:19" ht="13.5" x14ac:dyDescent="0.25">
      <c r="A758" t="s">
        <v>128</v>
      </c>
      <c r="B758" t="s">
        <v>129</v>
      </c>
      <c r="C758" t="str">
        <f t="shared" si="378"/>
        <v>Kellie Le</v>
      </c>
      <c r="D758" t="s">
        <v>37</v>
      </c>
      <c r="E758" s="3" t="str">
        <f t="shared" si="366"/>
        <v>Female</v>
      </c>
      <c r="F758" s="5">
        <v>49</v>
      </c>
      <c r="G758" t="s">
        <v>104</v>
      </c>
      <c r="H758" t="s">
        <v>105</v>
      </c>
      <c r="I758" t="s">
        <v>25</v>
      </c>
      <c r="J758" s="5">
        <v>22</v>
      </c>
      <c r="K758" s="3" t="str" cm="1">
        <f t="array" ref="K758">_xlfn.IFS(J758&lt;=5, "0-5", J758&lt;=10, "6-10", J758&lt;=15, "11-15", J758&lt;=20, "16-20", J758&gt;20, "21+")</f>
        <v>21+</v>
      </c>
      <c r="L758">
        <v>75</v>
      </c>
      <c r="M758" s="4">
        <f>L758</f>
        <v>75</v>
      </c>
      <c r="N758" s="4">
        <f t="shared" si="367"/>
        <v>75</v>
      </c>
      <c r="O758" s="5">
        <v>0</v>
      </c>
      <c r="P758" t="b">
        <v>1</v>
      </c>
      <c r="Q758" t="s">
        <v>28</v>
      </c>
      <c r="S758" s="7"/>
    </row>
    <row r="759" spans="1:19" ht="13.5" x14ac:dyDescent="0.25">
      <c r="A759" t="s">
        <v>1657</v>
      </c>
      <c r="B759" t="s">
        <v>1658</v>
      </c>
      <c r="C759" t="str">
        <f t="shared" si="378"/>
        <v>Lauren Henry</v>
      </c>
      <c r="D759" t="s">
        <v>304</v>
      </c>
      <c r="E759" s="3" t="str">
        <f t="shared" si="366"/>
        <v>Female</v>
      </c>
      <c r="F759" s="5">
        <v>37</v>
      </c>
      <c r="G759" t="s">
        <v>253</v>
      </c>
      <c r="H759" t="s">
        <v>254</v>
      </c>
      <c r="I759" t="s">
        <v>283</v>
      </c>
      <c r="K759" s="3" t="str" cm="1">
        <f t="array" ref="K759">_xlfn.IFS(J759&lt;=5, "0-5", J759&lt;=10, "6-10", J759&lt;=15, "11-15", J759&lt;=20, "16-20", J759&gt;20, "21+")</f>
        <v>0-5</v>
      </c>
      <c r="L759" t="s">
        <v>92</v>
      </c>
      <c r="M759" s="4" t="str">
        <f t="shared" ref="M759" si="393">_xlfn.TEXTAFTER(L759, " ")</f>
        <v>75</v>
      </c>
      <c r="N759" s="4">
        <f t="shared" si="367"/>
        <v>75</v>
      </c>
      <c r="O759" s="5">
        <v>3.5</v>
      </c>
      <c r="P759" t="s">
        <v>64</v>
      </c>
      <c r="Q759" t="s">
        <v>54</v>
      </c>
      <c r="R759" s="1">
        <v>0.75</v>
      </c>
      <c r="S759" s="6">
        <f t="shared" ref="S759:S769" si="394">R759</f>
        <v>0.75</v>
      </c>
    </row>
    <row r="760" spans="1:19" ht="13.5" x14ac:dyDescent="0.25">
      <c r="A760" t="s">
        <v>126</v>
      </c>
      <c r="B760" t="s">
        <v>127</v>
      </c>
      <c r="C760" t="str">
        <f t="shared" si="378"/>
        <v>Brandon Fox</v>
      </c>
      <c r="D760" t="s">
        <v>328</v>
      </c>
      <c r="E760" s="3" t="str">
        <f t="shared" si="366"/>
        <v>Male</v>
      </c>
      <c r="F760" s="5">
        <v>31</v>
      </c>
      <c r="G760" t="s">
        <v>38</v>
      </c>
      <c r="H760" t="s">
        <v>39</v>
      </c>
      <c r="I760" t="s">
        <v>25</v>
      </c>
      <c r="J760" s="5">
        <v>1</v>
      </c>
      <c r="K760" s="3" t="str" cm="1">
        <f t="array" ref="K760">_xlfn.IFS(J760&lt;=5, "0-5", J760&lt;=10, "6-10", J760&lt;=15, "11-15", J760&lt;=20, "16-20", J760&gt;20, "21+")</f>
        <v>0-5</v>
      </c>
      <c r="L760">
        <v>40</v>
      </c>
      <c r="M760" s="4">
        <f>L760</f>
        <v>40</v>
      </c>
      <c r="N760" s="4">
        <f t="shared" si="367"/>
        <v>40</v>
      </c>
      <c r="O760" s="5">
        <v>4.5</v>
      </c>
      <c r="P760">
        <v>0</v>
      </c>
      <c r="Q760" t="s">
        <v>54</v>
      </c>
      <c r="R760" s="1">
        <v>0.96</v>
      </c>
      <c r="S760" s="6">
        <f t="shared" si="394"/>
        <v>0.96</v>
      </c>
    </row>
    <row r="761" spans="1:19" ht="13.5" x14ac:dyDescent="0.25">
      <c r="A761" t="s">
        <v>1659</v>
      </c>
      <c r="B761" t="s">
        <v>1660</v>
      </c>
      <c r="C761" t="str">
        <f t="shared" si="378"/>
        <v>Richard Smith</v>
      </c>
      <c r="D761" t="s">
        <v>311</v>
      </c>
      <c r="E761" s="3" t="str">
        <f t="shared" si="366"/>
        <v>Male</v>
      </c>
      <c r="F761" s="5">
        <v>51</v>
      </c>
      <c r="G761" t="s">
        <v>62</v>
      </c>
      <c r="H761" t="s">
        <v>63</v>
      </c>
      <c r="I761" t="s">
        <v>285</v>
      </c>
      <c r="J761" s="5">
        <v>5</v>
      </c>
      <c r="K761" s="3" t="str" cm="1">
        <f t="array" ref="K761">_xlfn.IFS(J761&lt;=5, "0-5", J761&lt;=10, "6-10", J761&lt;=15, "11-15", J761&lt;=20, "16-20", J761&gt;20, "21+")</f>
        <v>0-5</v>
      </c>
      <c r="L761" t="s">
        <v>99</v>
      </c>
      <c r="M761" s="4" t="str">
        <f t="shared" ref="M761" si="395">_xlfn.TEXTAFTER(L761, " ")</f>
        <v>40</v>
      </c>
      <c r="N761" s="4">
        <f t="shared" si="367"/>
        <v>40</v>
      </c>
      <c r="O761" s="5">
        <v>1.7</v>
      </c>
      <c r="P761" t="s">
        <v>27</v>
      </c>
      <c r="Q761" t="s">
        <v>28</v>
      </c>
      <c r="R761" s="1">
        <v>0.61</v>
      </c>
      <c r="S761" s="6">
        <f t="shared" si="394"/>
        <v>0.61</v>
      </c>
    </row>
    <row r="762" spans="1:19" ht="13.5" x14ac:dyDescent="0.25">
      <c r="A762" t="s">
        <v>1661</v>
      </c>
      <c r="B762" t="s">
        <v>1662</v>
      </c>
      <c r="C762" t="str">
        <f t="shared" si="378"/>
        <v>John White</v>
      </c>
      <c r="D762" t="s">
        <v>43</v>
      </c>
      <c r="E762" s="3" t="str">
        <f t="shared" si="366"/>
        <v>Male</v>
      </c>
      <c r="F762" s="5">
        <v>60</v>
      </c>
      <c r="G762" t="s">
        <v>165</v>
      </c>
      <c r="H762" t="s">
        <v>166</v>
      </c>
      <c r="I762" t="s">
        <v>283</v>
      </c>
      <c r="J762" s="5">
        <v>40</v>
      </c>
      <c r="K762" s="3" t="str" cm="1">
        <f t="array" ref="K762">_xlfn.IFS(J762&lt;=5, "0-5", J762&lt;=10, "6-10", J762&lt;=15, "11-15", J762&lt;=20, "16-20", J762&gt;20, "21+")</f>
        <v>21+</v>
      </c>
      <c r="L762">
        <v>50</v>
      </c>
      <c r="M762" s="4">
        <f t="shared" ref="M762:M763" si="396">L762</f>
        <v>50</v>
      </c>
      <c r="N762" s="4">
        <f t="shared" si="367"/>
        <v>50</v>
      </c>
      <c r="O762" s="5">
        <v>4.5999999999999996</v>
      </c>
      <c r="P762" t="b">
        <v>1</v>
      </c>
      <c r="Q762" t="s">
        <v>28</v>
      </c>
      <c r="R762" s="1">
        <v>1</v>
      </c>
      <c r="S762" s="6">
        <f t="shared" si="394"/>
        <v>1</v>
      </c>
    </row>
    <row r="763" spans="1:19" ht="13.5" x14ac:dyDescent="0.25">
      <c r="A763" t="s">
        <v>1663</v>
      </c>
      <c r="B763" t="s">
        <v>1664</v>
      </c>
      <c r="C763" t="str">
        <f t="shared" si="378"/>
        <v>Gilbert Mcintyre</v>
      </c>
      <c r="D763" t="s">
        <v>328</v>
      </c>
      <c r="E763" s="3" t="str">
        <f t="shared" si="366"/>
        <v>Male</v>
      </c>
      <c r="F763" s="5">
        <v>51</v>
      </c>
      <c r="G763" t="s">
        <v>125</v>
      </c>
      <c r="H763" t="s">
        <v>39</v>
      </c>
      <c r="I763" t="s">
        <v>292</v>
      </c>
      <c r="J763" s="5">
        <v>19</v>
      </c>
      <c r="K763" s="3" t="str" cm="1">
        <f t="array" ref="K763">_xlfn.IFS(J763&lt;=5, "0-5", J763&lt;=10, "6-10", J763&lt;=15, "11-15", J763&lt;=20, "16-20", J763&gt;20, "21+")</f>
        <v>16-20</v>
      </c>
      <c r="L763">
        <v>50</v>
      </c>
      <c r="M763" s="4">
        <f t="shared" si="396"/>
        <v>50</v>
      </c>
      <c r="N763" s="4">
        <f t="shared" si="367"/>
        <v>50</v>
      </c>
      <c r="P763" t="s">
        <v>57</v>
      </c>
      <c r="Q763" t="s">
        <v>28</v>
      </c>
      <c r="R763" s="1">
        <v>0.82</v>
      </c>
      <c r="S763" s="6">
        <f t="shared" si="394"/>
        <v>0.82</v>
      </c>
    </row>
    <row r="764" spans="1:19" ht="13.5" x14ac:dyDescent="0.25">
      <c r="A764" t="s">
        <v>1665</v>
      </c>
      <c r="B764" t="s">
        <v>1666</v>
      </c>
      <c r="C764" t="str">
        <f t="shared" si="378"/>
        <v>Christopher Sparks</v>
      </c>
      <c r="D764" t="s">
        <v>43</v>
      </c>
      <c r="E764" s="3" t="str">
        <f t="shared" si="366"/>
        <v>Male</v>
      </c>
      <c r="F764" s="5">
        <v>37</v>
      </c>
      <c r="G764" t="s">
        <v>33</v>
      </c>
      <c r="H764" t="s">
        <v>34</v>
      </c>
      <c r="I764" t="s">
        <v>287</v>
      </c>
      <c r="J764" s="5">
        <v>12</v>
      </c>
      <c r="K764" s="3" t="str" cm="1">
        <f t="array" ref="K764">_xlfn.IFS(J764&lt;=5, "0-5", J764&lt;=10, "6-10", J764&lt;=15, "11-15", J764&lt;=20, "16-20", J764&gt;20, "21+")</f>
        <v>11-15</v>
      </c>
      <c r="N764" s="4" t="str">
        <f t="shared" si="367"/>
        <v>NA</v>
      </c>
      <c r="O764" s="5">
        <v>4.9000000000000004</v>
      </c>
      <c r="P764">
        <v>1</v>
      </c>
      <c r="Q764" t="s">
        <v>28</v>
      </c>
      <c r="R764" s="1">
        <v>0.8</v>
      </c>
      <c r="S764" s="6">
        <f t="shared" si="394"/>
        <v>0.8</v>
      </c>
    </row>
    <row r="765" spans="1:19" ht="13.5" x14ac:dyDescent="0.25">
      <c r="A765" t="s">
        <v>1667</v>
      </c>
      <c r="B765" t="s">
        <v>1668</v>
      </c>
      <c r="C765" t="str">
        <f t="shared" si="378"/>
        <v>Aaron Hicks</v>
      </c>
      <c r="D765" t="s">
        <v>31</v>
      </c>
      <c r="E765" s="3" t="str">
        <f t="shared" si="366"/>
        <v>Male</v>
      </c>
      <c r="F765" s="5">
        <v>52</v>
      </c>
      <c r="G765" t="s">
        <v>146</v>
      </c>
      <c r="H765" t="s">
        <v>147</v>
      </c>
      <c r="I765" t="s">
        <v>292</v>
      </c>
      <c r="J765" s="5">
        <v>7</v>
      </c>
      <c r="K765" s="3" t="str" cm="1">
        <f t="array" ref="K765">_xlfn.IFS(J765&lt;=5, "0-5", J765&lt;=10, "6-10", J765&lt;=15, "11-15", J765&lt;=20, "16-20", J765&gt;20, "21+")</f>
        <v>6-10</v>
      </c>
      <c r="L765">
        <v>40</v>
      </c>
      <c r="M765" s="4">
        <f t="shared" ref="M765:M766" si="397">L765</f>
        <v>40</v>
      </c>
      <c r="N765" s="4">
        <f t="shared" si="367"/>
        <v>40</v>
      </c>
      <c r="O765" s="5">
        <v>2.2000000000000002</v>
      </c>
      <c r="R765" s="1">
        <v>0.96</v>
      </c>
      <c r="S765" s="6">
        <f t="shared" si="394"/>
        <v>0.96</v>
      </c>
    </row>
    <row r="766" spans="1:19" ht="13.5" x14ac:dyDescent="0.25">
      <c r="A766" t="s">
        <v>1669</v>
      </c>
      <c r="B766" t="s">
        <v>1670</v>
      </c>
      <c r="C766" t="str">
        <f t="shared" si="378"/>
        <v>Jose Patterson</v>
      </c>
      <c r="D766" t="s">
        <v>43</v>
      </c>
      <c r="E766" s="3" t="str">
        <f t="shared" si="366"/>
        <v>Male</v>
      </c>
      <c r="F766" s="5">
        <v>27</v>
      </c>
      <c r="G766" t="s">
        <v>104</v>
      </c>
      <c r="H766" t="s">
        <v>105</v>
      </c>
      <c r="I766" t="s">
        <v>292</v>
      </c>
      <c r="J766" s="5">
        <v>4</v>
      </c>
      <c r="K766" s="3" t="str" cm="1">
        <f t="array" ref="K766">_xlfn.IFS(J766&lt;=5, "0-5", J766&lt;=10, "6-10", J766&lt;=15, "11-15", J766&lt;=20, "16-20", J766&gt;20, "21+")</f>
        <v>0-5</v>
      </c>
      <c r="L766">
        <v>20</v>
      </c>
      <c r="M766" s="4">
        <f t="shared" si="397"/>
        <v>20</v>
      </c>
      <c r="N766" s="4">
        <f t="shared" si="367"/>
        <v>20</v>
      </c>
      <c r="P766">
        <v>0</v>
      </c>
      <c r="Q766" t="s">
        <v>54</v>
      </c>
      <c r="R766" s="1">
        <v>0.63</v>
      </c>
      <c r="S766" s="6">
        <f t="shared" si="394"/>
        <v>0.63</v>
      </c>
    </row>
    <row r="767" spans="1:19" ht="13.5" x14ac:dyDescent="0.25">
      <c r="A767" t="s">
        <v>1671</v>
      </c>
      <c r="B767" t="s">
        <v>1672</v>
      </c>
      <c r="C767" t="str">
        <f t="shared" si="378"/>
        <v>Bryan Long</v>
      </c>
      <c r="D767" t="s">
        <v>43</v>
      </c>
      <c r="E767" s="3" t="str">
        <f t="shared" si="366"/>
        <v>Male</v>
      </c>
      <c r="F767" s="5">
        <v>48</v>
      </c>
      <c r="G767" t="s">
        <v>38</v>
      </c>
      <c r="H767" t="s">
        <v>39</v>
      </c>
      <c r="I767" t="s">
        <v>287</v>
      </c>
      <c r="J767" s="5">
        <v>24</v>
      </c>
      <c r="K767" s="3" t="str" cm="1">
        <f t="array" ref="K767">_xlfn.IFS(J767&lt;=5, "0-5", J767&lt;=10, "6-10", J767&lt;=15, "11-15", J767&lt;=20, "16-20", J767&gt;20, "21+")</f>
        <v>21+</v>
      </c>
      <c r="L767" s="2">
        <v>40</v>
      </c>
      <c r="M767" s="4" t="str">
        <f>SUBSTITUTE(L767, "$","")</f>
        <v>40</v>
      </c>
      <c r="N767" s="4">
        <f t="shared" si="367"/>
        <v>40</v>
      </c>
      <c r="O767" s="5">
        <v>2.2000000000000002</v>
      </c>
      <c r="P767">
        <v>0</v>
      </c>
      <c r="Q767" t="s">
        <v>54</v>
      </c>
      <c r="R767" s="1">
        <v>0.67</v>
      </c>
      <c r="S767" s="6">
        <f t="shared" si="394"/>
        <v>0.67</v>
      </c>
    </row>
    <row r="768" spans="1:19" ht="13.5" x14ac:dyDescent="0.25">
      <c r="A768" t="s">
        <v>1673</v>
      </c>
      <c r="B768" t="s">
        <v>1674</v>
      </c>
      <c r="C768" t="str">
        <f t="shared" si="378"/>
        <v>Tammy Gomez</v>
      </c>
      <c r="D768" t="s">
        <v>301</v>
      </c>
      <c r="E768" s="3" t="str">
        <f t="shared" si="366"/>
        <v>Female</v>
      </c>
      <c r="F768" s="5">
        <v>22</v>
      </c>
      <c r="G768" t="s">
        <v>88</v>
      </c>
      <c r="H768" t="s">
        <v>89</v>
      </c>
      <c r="I768" t="s">
        <v>291</v>
      </c>
      <c r="J768" s="5">
        <v>1</v>
      </c>
      <c r="K768" s="3" t="str" cm="1">
        <f t="array" ref="K768">_xlfn.IFS(J768&lt;=5, "0-5", J768&lt;=10, "6-10", J768&lt;=15, "11-15", J768&lt;=20, "16-20", J768&gt;20, "21+")</f>
        <v>0-5</v>
      </c>
      <c r="L768" t="s">
        <v>72</v>
      </c>
      <c r="M768" s="4" t="str">
        <f t="shared" ref="M768:M769" si="398">_xlfn.TEXTAFTER(L768, " ")</f>
        <v>30</v>
      </c>
      <c r="N768" s="4">
        <f t="shared" si="367"/>
        <v>30</v>
      </c>
      <c r="O768" s="5">
        <v>3.3</v>
      </c>
      <c r="P768">
        <v>1</v>
      </c>
      <c r="Q768" t="s">
        <v>28</v>
      </c>
      <c r="R768" s="1">
        <v>0.61</v>
      </c>
      <c r="S768" s="6">
        <f t="shared" si="394"/>
        <v>0.61</v>
      </c>
    </row>
    <row r="769" spans="1:19" ht="13.5" x14ac:dyDescent="0.25">
      <c r="A769" t="s">
        <v>1675</v>
      </c>
      <c r="B769" t="s">
        <v>1676</v>
      </c>
      <c r="C769" t="str">
        <f t="shared" si="378"/>
        <v>Diana Raymond</v>
      </c>
      <c r="D769" t="s">
        <v>21</v>
      </c>
      <c r="E769" s="3" t="str">
        <f t="shared" si="366"/>
        <v>Female</v>
      </c>
      <c r="F769" s="5">
        <v>48</v>
      </c>
      <c r="G769" t="s">
        <v>33</v>
      </c>
      <c r="H769" t="s">
        <v>34</v>
      </c>
      <c r="I769" t="s">
        <v>285</v>
      </c>
      <c r="J769" s="5">
        <v>28</v>
      </c>
      <c r="K769" s="3" t="str" cm="1">
        <f t="array" ref="K769">_xlfn.IFS(J769&lt;=5, "0-5", J769&lt;=10, "6-10", J769&lt;=15, "11-15", J769&lt;=20, "16-20", J769&gt;20, "21+")</f>
        <v>21+</v>
      </c>
      <c r="L769" t="s">
        <v>72</v>
      </c>
      <c r="M769" s="4" t="str">
        <f t="shared" si="398"/>
        <v>30</v>
      </c>
      <c r="N769" s="4">
        <f t="shared" si="367"/>
        <v>30</v>
      </c>
      <c r="O769" s="5">
        <v>4.9000000000000004</v>
      </c>
      <c r="P769">
        <v>0</v>
      </c>
      <c r="Q769" t="s">
        <v>54</v>
      </c>
      <c r="R769" s="1">
        <v>0.77</v>
      </c>
      <c r="S769" s="6">
        <f t="shared" si="394"/>
        <v>0.77</v>
      </c>
    </row>
    <row r="770" spans="1:19" ht="13.5" x14ac:dyDescent="0.25">
      <c r="A770" t="s">
        <v>1677</v>
      </c>
      <c r="B770" t="s">
        <v>1678</v>
      </c>
      <c r="C770" t="str">
        <f t="shared" si="378"/>
        <v>Jessica Armstrong</v>
      </c>
      <c r="D770" t="s">
        <v>301</v>
      </c>
      <c r="E770" s="3" t="str">
        <f t="shared" si="366"/>
        <v>Female</v>
      </c>
      <c r="F770" s="5">
        <v>54</v>
      </c>
      <c r="G770" t="s">
        <v>183</v>
      </c>
      <c r="H770" t="s">
        <v>39</v>
      </c>
      <c r="I770" t="s">
        <v>285</v>
      </c>
      <c r="J770" s="5">
        <v>19</v>
      </c>
      <c r="K770" s="3" t="str" cm="1">
        <f t="array" ref="K770">_xlfn.IFS(J770&lt;=5, "0-5", J770&lt;=10, "6-10", J770&lt;=15, "11-15", J770&lt;=20, "16-20", J770&gt;20, "21+")</f>
        <v>16-20</v>
      </c>
      <c r="L770">
        <v>75</v>
      </c>
      <c r="M770" s="4">
        <f t="shared" ref="M770:M771" si="399">L770</f>
        <v>75</v>
      </c>
      <c r="N770" s="4">
        <f t="shared" si="367"/>
        <v>75</v>
      </c>
      <c r="O770" s="5">
        <v>0</v>
      </c>
      <c r="S770" s="7"/>
    </row>
    <row r="771" spans="1:19" ht="13.5" x14ac:dyDescent="0.25">
      <c r="A771" t="s">
        <v>1679</v>
      </c>
      <c r="B771" t="s">
        <v>1680</v>
      </c>
      <c r="C771" t="str">
        <f t="shared" si="378"/>
        <v>Amanda Martin</v>
      </c>
      <c r="D771" t="s">
        <v>22</v>
      </c>
      <c r="E771" s="3" t="str">
        <f t="shared" ref="E771:E834" si="400">IF(LOWER(LEFT(D771,1)) = "f", "Female", "Male")</f>
        <v>Female</v>
      </c>
      <c r="F771" s="5">
        <v>52</v>
      </c>
      <c r="G771" t="s">
        <v>62</v>
      </c>
      <c r="H771" t="s">
        <v>63</v>
      </c>
      <c r="I771" t="s">
        <v>291</v>
      </c>
      <c r="J771" s="5">
        <v>4</v>
      </c>
      <c r="K771" s="3" t="str" cm="1">
        <f t="array" ref="K771">_xlfn.IFS(J771&lt;=5, "0-5", J771&lt;=10, "6-10", J771&lt;=15, "11-15", J771&lt;=20, "16-20", J771&gt;20, "21+")</f>
        <v>0-5</v>
      </c>
      <c r="L771">
        <v>50</v>
      </c>
      <c r="M771" s="4">
        <f t="shared" si="399"/>
        <v>50</v>
      </c>
      <c r="N771" s="4">
        <f t="shared" ref="N771:N834" si="401">IF(M771="","NA",ROUND(M771,0))</f>
        <v>50</v>
      </c>
      <c r="P771" t="s">
        <v>64</v>
      </c>
      <c r="Q771" t="s">
        <v>54</v>
      </c>
      <c r="R771" s="1">
        <v>0.84</v>
      </c>
      <c r="S771" s="6">
        <f t="shared" ref="S771:S782" si="402">R771</f>
        <v>0.84</v>
      </c>
    </row>
    <row r="772" spans="1:19" ht="13.5" x14ac:dyDescent="0.25">
      <c r="A772" t="s">
        <v>1681</v>
      </c>
      <c r="B772" t="s">
        <v>1682</v>
      </c>
      <c r="C772" t="str">
        <f t="shared" si="378"/>
        <v>Anne Hamilton</v>
      </c>
      <c r="D772" t="s">
        <v>304</v>
      </c>
      <c r="E772" s="3" t="str">
        <f t="shared" si="400"/>
        <v>Female</v>
      </c>
      <c r="F772" s="5">
        <v>39</v>
      </c>
      <c r="G772" t="s">
        <v>67</v>
      </c>
      <c r="H772" t="s">
        <v>68</v>
      </c>
      <c r="I772" t="s">
        <v>290</v>
      </c>
      <c r="J772" s="5">
        <v>20</v>
      </c>
      <c r="K772" s="3" t="str" cm="1">
        <f t="array" ref="K772">_xlfn.IFS(J772&lt;=5, "0-5", J772&lt;=10, "6-10", J772&lt;=15, "11-15", J772&lt;=20, "16-20", J772&gt;20, "21+")</f>
        <v>16-20</v>
      </c>
      <c r="L772" t="s">
        <v>40</v>
      </c>
      <c r="M772" s="4" t="str">
        <f t="shared" ref="M772:M773" si="403">_xlfn.TEXTAFTER(L772, " ")</f>
        <v>100</v>
      </c>
      <c r="N772" s="4">
        <f t="shared" si="401"/>
        <v>100</v>
      </c>
      <c r="P772" t="s">
        <v>57</v>
      </c>
      <c r="Q772" t="s">
        <v>28</v>
      </c>
      <c r="R772" s="1">
        <v>0.89</v>
      </c>
      <c r="S772" s="6">
        <f t="shared" si="402"/>
        <v>0.89</v>
      </c>
    </row>
    <row r="773" spans="1:19" ht="13.5" x14ac:dyDescent="0.25">
      <c r="A773" t="s">
        <v>1683</v>
      </c>
      <c r="B773" t="s">
        <v>1684</v>
      </c>
      <c r="C773" t="str">
        <f t="shared" si="378"/>
        <v>Heather Curtis</v>
      </c>
      <c r="D773" t="s">
        <v>37</v>
      </c>
      <c r="E773" s="3" t="str">
        <f t="shared" si="400"/>
        <v>Female</v>
      </c>
      <c r="F773" s="5">
        <v>54</v>
      </c>
      <c r="G773" t="s">
        <v>95</v>
      </c>
      <c r="H773" t="s">
        <v>96</v>
      </c>
      <c r="I773" t="s">
        <v>285</v>
      </c>
      <c r="J773" s="5">
        <v>19</v>
      </c>
      <c r="K773" s="3" t="str" cm="1">
        <f t="array" ref="K773">_xlfn.IFS(J773&lt;=5, "0-5", J773&lt;=10, "6-10", J773&lt;=15, "11-15", J773&lt;=20, "16-20", J773&gt;20, "21+")</f>
        <v>16-20</v>
      </c>
      <c r="L773" t="s">
        <v>72</v>
      </c>
      <c r="M773" s="4" t="str">
        <f t="shared" si="403"/>
        <v>30</v>
      </c>
      <c r="N773" s="4">
        <f t="shared" si="401"/>
        <v>30</v>
      </c>
      <c r="O773" s="5">
        <v>4</v>
      </c>
      <c r="R773" s="1">
        <v>0.9</v>
      </c>
      <c r="S773" s="6">
        <f t="shared" si="402"/>
        <v>0.9</v>
      </c>
    </row>
    <row r="774" spans="1:19" ht="13.5" x14ac:dyDescent="0.25">
      <c r="A774" t="s">
        <v>1685</v>
      </c>
      <c r="B774" t="s">
        <v>1686</v>
      </c>
      <c r="C774" t="str">
        <f t="shared" si="378"/>
        <v>Tiffany Moses</v>
      </c>
      <c r="D774" t="s">
        <v>22</v>
      </c>
      <c r="E774" s="3" t="str">
        <f t="shared" si="400"/>
        <v>Female</v>
      </c>
      <c r="F774" s="5">
        <v>22</v>
      </c>
      <c r="G774" t="s">
        <v>183</v>
      </c>
      <c r="H774" t="s">
        <v>39</v>
      </c>
      <c r="I774" t="s">
        <v>288</v>
      </c>
      <c r="J774" s="5">
        <v>1</v>
      </c>
      <c r="K774" s="3" t="str" cm="1">
        <f t="array" ref="K774">_xlfn.IFS(J774&lt;=5, "0-5", J774&lt;=10, "6-10", J774&lt;=15, "11-15", J774&lt;=20, "16-20", J774&gt;20, "21+")</f>
        <v>0-5</v>
      </c>
      <c r="L774">
        <v>20</v>
      </c>
      <c r="M774" s="4">
        <f t="shared" ref="M774:M775" si="404">L774</f>
        <v>20</v>
      </c>
      <c r="N774" s="4">
        <f t="shared" si="401"/>
        <v>20</v>
      </c>
      <c r="O774" s="5">
        <v>4.8</v>
      </c>
      <c r="P774" t="b">
        <v>0</v>
      </c>
      <c r="Q774" t="s">
        <v>54</v>
      </c>
      <c r="R774" s="1">
        <v>0.87</v>
      </c>
      <c r="S774" s="6">
        <f t="shared" si="402"/>
        <v>0.87</v>
      </c>
    </row>
    <row r="775" spans="1:19" ht="13.5" x14ac:dyDescent="0.25">
      <c r="A775" t="s">
        <v>1687</v>
      </c>
      <c r="B775" t="s">
        <v>1688</v>
      </c>
      <c r="C775" t="str">
        <f t="shared" si="378"/>
        <v>Jacqueline Moon</v>
      </c>
      <c r="D775" t="s">
        <v>21</v>
      </c>
      <c r="E775" s="3" t="str">
        <f t="shared" si="400"/>
        <v>Female</v>
      </c>
      <c r="F775" s="5">
        <v>29</v>
      </c>
      <c r="G775" t="s">
        <v>177</v>
      </c>
      <c r="H775" t="s">
        <v>178</v>
      </c>
      <c r="I775" t="s">
        <v>285</v>
      </c>
      <c r="J775" s="5">
        <v>8</v>
      </c>
      <c r="K775" s="3" t="str" cm="1">
        <f t="array" ref="K775">_xlfn.IFS(J775&lt;=5, "0-5", J775&lt;=10, "6-10", J775&lt;=15, "11-15", J775&lt;=20, "16-20", J775&gt;20, "21+")</f>
        <v>6-10</v>
      </c>
      <c r="L775">
        <v>50</v>
      </c>
      <c r="M775" s="4">
        <f t="shared" si="404"/>
        <v>50</v>
      </c>
      <c r="N775" s="4">
        <f t="shared" si="401"/>
        <v>50</v>
      </c>
      <c r="O775" s="5">
        <v>0</v>
      </c>
      <c r="P775">
        <v>0</v>
      </c>
      <c r="Q775" t="s">
        <v>54</v>
      </c>
      <c r="R775" s="1">
        <v>0.77</v>
      </c>
      <c r="S775" s="6">
        <f t="shared" si="402"/>
        <v>0.77</v>
      </c>
    </row>
    <row r="776" spans="1:19" ht="13.5" x14ac:dyDescent="0.25">
      <c r="A776" t="s">
        <v>1689</v>
      </c>
      <c r="B776" t="s">
        <v>1690</v>
      </c>
      <c r="C776" t="str">
        <f t="shared" si="378"/>
        <v>James Campbell</v>
      </c>
      <c r="D776" t="s">
        <v>328</v>
      </c>
      <c r="E776" s="3" t="str">
        <f t="shared" si="400"/>
        <v>Male</v>
      </c>
      <c r="F776" s="5">
        <v>23</v>
      </c>
      <c r="G776" t="s">
        <v>84</v>
      </c>
      <c r="H776" t="s">
        <v>24</v>
      </c>
      <c r="I776" t="s">
        <v>283</v>
      </c>
      <c r="J776" s="5">
        <v>3</v>
      </c>
      <c r="K776" s="3" t="str" cm="1">
        <f t="array" ref="K776">_xlfn.IFS(J776&lt;=5, "0-5", J776&lt;=10, "6-10", J776&lt;=15, "11-15", J776&lt;=20, "16-20", J776&gt;20, "21+")</f>
        <v>0-5</v>
      </c>
      <c r="L776" t="s">
        <v>72</v>
      </c>
      <c r="M776" s="4" t="str">
        <f t="shared" ref="M776" si="405">_xlfn.TEXTAFTER(L776, " ")</f>
        <v>30</v>
      </c>
      <c r="N776" s="4">
        <f t="shared" si="401"/>
        <v>30</v>
      </c>
      <c r="O776" s="5">
        <v>1.6</v>
      </c>
      <c r="P776" t="s">
        <v>57</v>
      </c>
      <c r="Q776" t="s">
        <v>28</v>
      </c>
      <c r="R776" s="1">
        <v>0.72</v>
      </c>
      <c r="S776" s="6">
        <f t="shared" si="402"/>
        <v>0.72</v>
      </c>
    </row>
    <row r="777" spans="1:19" ht="13.5" x14ac:dyDescent="0.25">
      <c r="A777" t="s">
        <v>1691</v>
      </c>
      <c r="B777" t="s">
        <v>1692</v>
      </c>
      <c r="C777" t="str">
        <f t="shared" si="378"/>
        <v>Melissa Vasquez</v>
      </c>
      <c r="D777" t="s">
        <v>301</v>
      </c>
      <c r="E777" s="3" t="str">
        <f t="shared" si="400"/>
        <v>Female</v>
      </c>
      <c r="F777" s="5">
        <v>58</v>
      </c>
      <c r="G777" t="s">
        <v>44</v>
      </c>
      <c r="H777" t="s">
        <v>24</v>
      </c>
      <c r="I777" t="s">
        <v>283</v>
      </c>
      <c r="J777" s="5">
        <v>30</v>
      </c>
      <c r="K777" s="3" t="str" cm="1">
        <f t="array" ref="K777">_xlfn.IFS(J777&lt;=5, "0-5", J777&lt;=10, "6-10", J777&lt;=15, "11-15", J777&lt;=20, "16-20", J777&gt;20, "21+")</f>
        <v>21+</v>
      </c>
      <c r="L777">
        <v>50</v>
      </c>
      <c r="M777" s="4">
        <f t="shared" ref="M777:M779" si="406">L777</f>
        <v>50</v>
      </c>
      <c r="N777" s="4">
        <f t="shared" si="401"/>
        <v>50</v>
      </c>
      <c r="O777" s="5">
        <v>1.3</v>
      </c>
      <c r="P777" t="s">
        <v>27</v>
      </c>
      <c r="Q777" t="s">
        <v>28</v>
      </c>
      <c r="R777" s="1">
        <v>0.87</v>
      </c>
      <c r="S777" s="6">
        <f t="shared" si="402"/>
        <v>0.87</v>
      </c>
    </row>
    <row r="778" spans="1:19" ht="13.5" x14ac:dyDescent="0.25">
      <c r="A778" t="s">
        <v>1693</v>
      </c>
      <c r="B778" t="s">
        <v>1694</v>
      </c>
      <c r="C778" t="str">
        <f t="shared" si="378"/>
        <v>Katherine Carlson</v>
      </c>
      <c r="D778" t="s">
        <v>37</v>
      </c>
      <c r="E778" s="3" t="str">
        <f t="shared" si="400"/>
        <v>Female</v>
      </c>
      <c r="F778" s="5">
        <v>56</v>
      </c>
      <c r="G778" t="s">
        <v>165</v>
      </c>
      <c r="H778" t="s">
        <v>166</v>
      </c>
      <c r="I778" t="s">
        <v>292</v>
      </c>
      <c r="J778" s="5">
        <v>3</v>
      </c>
      <c r="K778" s="3" t="str" cm="1">
        <f t="array" ref="K778">_xlfn.IFS(J778&lt;=5, "0-5", J778&lt;=10, "6-10", J778&lt;=15, "11-15", J778&lt;=20, "16-20", J778&gt;20, "21+")</f>
        <v>0-5</v>
      </c>
      <c r="L778">
        <v>40</v>
      </c>
      <c r="M778" s="4">
        <f t="shared" si="406"/>
        <v>40</v>
      </c>
      <c r="N778" s="4">
        <f t="shared" si="401"/>
        <v>40</v>
      </c>
      <c r="O778" s="5">
        <v>4.0999999999999996</v>
      </c>
      <c r="P778" t="b">
        <v>1</v>
      </c>
      <c r="Q778" t="s">
        <v>28</v>
      </c>
      <c r="R778" s="1">
        <v>0.89</v>
      </c>
      <c r="S778" s="6">
        <f t="shared" si="402"/>
        <v>0.89</v>
      </c>
    </row>
    <row r="779" spans="1:19" ht="13.5" x14ac:dyDescent="0.25">
      <c r="A779" t="s">
        <v>1695</v>
      </c>
      <c r="B779" t="s">
        <v>1696</v>
      </c>
      <c r="C779" t="str">
        <f t="shared" si="378"/>
        <v>Adam Clay</v>
      </c>
      <c r="D779" t="s">
        <v>328</v>
      </c>
      <c r="E779" s="3" t="str">
        <f t="shared" si="400"/>
        <v>Male</v>
      </c>
      <c r="F779" s="5">
        <v>48</v>
      </c>
      <c r="G779" t="s">
        <v>67</v>
      </c>
      <c r="H779" t="s">
        <v>68</v>
      </c>
      <c r="I779" t="s">
        <v>290</v>
      </c>
      <c r="J779" s="5">
        <v>19</v>
      </c>
      <c r="K779" s="3" t="str" cm="1">
        <f t="array" ref="K779">_xlfn.IFS(J779&lt;=5, "0-5", J779&lt;=10, "6-10", J779&lt;=15, "11-15", J779&lt;=20, "16-20", J779&gt;20, "21+")</f>
        <v>16-20</v>
      </c>
      <c r="L779">
        <v>40</v>
      </c>
      <c r="M779" s="4">
        <f t="shared" si="406"/>
        <v>40</v>
      </c>
      <c r="N779" s="4">
        <f t="shared" si="401"/>
        <v>40</v>
      </c>
      <c r="O779" s="5">
        <v>1.5</v>
      </c>
      <c r="P779">
        <v>0</v>
      </c>
      <c r="Q779" t="s">
        <v>54</v>
      </c>
      <c r="R779" s="1">
        <v>0.87</v>
      </c>
      <c r="S779" s="6">
        <f t="shared" si="402"/>
        <v>0.87</v>
      </c>
    </row>
    <row r="780" spans="1:19" ht="13.5" x14ac:dyDescent="0.25">
      <c r="A780" t="s">
        <v>1697</v>
      </c>
      <c r="B780" t="s">
        <v>1698</v>
      </c>
      <c r="C780" t="str">
        <f t="shared" si="378"/>
        <v>Amy Combs</v>
      </c>
      <c r="D780" t="s">
        <v>22</v>
      </c>
      <c r="E780" s="3" t="str">
        <f t="shared" si="400"/>
        <v>Female</v>
      </c>
      <c r="F780" s="5">
        <v>31</v>
      </c>
      <c r="G780" t="s">
        <v>95</v>
      </c>
      <c r="H780" t="s">
        <v>96</v>
      </c>
      <c r="I780" t="s">
        <v>285</v>
      </c>
      <c r="J780" s="5">
        <v>11</v>
      </c>
      <c r="K780" s="3" t="str" cm="1">
        <f t="array" ref="K780">_xlfn.IFS(J780&lt;=5, "0-5", J780&lt;=10, "6-10", J780&lt;=15, "11-15", J780&lt;=20, "16-20", J780&gt;20, "21+")</f>
        <v>11-15</v>
      </c>
      <c r="L780" t="s">
        <v>99</v>
      </c>
      <c r="M780" s="4" t="str">
        <f t="shared" ref="M780" si="407">_xlfn.TEXTAFTER(L780, " ")</f>
        <v>40</v>
      </c>
      <c r="N780" s="4">
        <f t="shared" si="401"/>
        <v>40</v>
      </c>
      <c r="O780" s="5">
        <v>4.3</v>
      </c>
      <c r="P780" t="s">
        <v>57</v>
      </c>
      <c r="Q780" t="s">
        <v>28</v>
      </c>
      <c r="R780" s="1">
        <v>0.76</v>
      </c>
      <c r="S780" s="6">
        <f t="shared" si="402"/>
        <v>0.76</v>
      </c>
    </row>
    <row r="781" spans="1:19" ht="13.5" x14ac:dyDescent="0.25">
      <c r="A781" t="s">
        <v>1699</v>
      </c>
      <c r="B781" t="s">
        <v>1700</v>
      </c>
      <c r="C781" t="str">
        <f t="shared" si="378"/>
        <v>Anthony Case</v>
      </c>
      <c r="D781" t="s">
        <v>328</v>
      </c>
      <c r="E781" s="3" t="str">
        <f t="shared" si="400"/>
        <v>Male</v>
      </c>
      <c r="F781" s="5">
        <v>44</v>
      </c>
      <c r="G781" t="s">
        <v>38</v>
      </c>
      <c r="H781" t="s">
        <v>39</v>
      </c>
      <c r="I781" t="s">
        <v>284</v>
      </c>
      <c r="J781" s="5">
        <v>26</v>
      </c>
      <c r="K781" s="3" t="str" cm="1">
        <f t="array" ref="K781">_xlfn.IFS(J781&lt;=5, "0-5", J781&lt;=10, "6-10", J781&lt;=15, "11-15", J781&lt;=20, "16-20", J781&gt;20, "21+")</f>
        <v>21+</v>
      </c>
      <c r="L781">
        <v>50</v>
      </c>
      <c r="M781" s="4">
        <f t="shared" ref="M781:M783" si="408">L781</f>
        <v>50</v>
      </c>
      <c r="N781" s="4">
        <f t="shared" si="401"/>
        <v>50</v>
      </c>
      <c r="O781" s="5">
        <v>1.6</v>
      </c>
      <c r="R781" s="1">
        <v>1</v>
      </c>
      <c r="S781" s="6">
        <f t="shared" si="402"/>
        <v>1</v>
      </c>
    </row>
    <row r="782" spans="1:19" ht="13.5" x14ac:dyDescent="0.25">
      <c r="A782" t="s">
        <v>1701</v>
      </c>
      <c r="B782" t="s">
        <v>1702</v>
      </c>
      <c r="C782" t="str">
        <f t="shared" si="378"/>
        <v>Kimberly Brown</v>
      </c>
      <c r="D782" t="s">
        <v>301</v>
      </c>
      <c r="E782" s="3" t="str">
        <f t="shared" si="400"/>
        <v>Female</v>
      </c>
      <c r="F782" s="5">
        <v>42</v>
      </c>
      <c r="G782" t="s">
        <v>117</v>
      </c>
      <c r="H782" t="s">
        <v>118</v>
      </c>
      <c r="I782" t="s">
        <v>285</v>
      </c>
      <c r="J782" s="5">
        <v>10</v>
      </c>
      <c r="K782" s="3" t="str" cm="1">
        <f t="array" ref="K782">_xlfn.IFS(J782&lt;=5, "0-5", J782&lt;=10, "6-10", J782&lt;=15, "11-15", J782&lt;=20, "16-20", J782&gt;20, "21+")</f>
        <v>6-10</v>
      </c>
      <c r="L782">
        <v>100</v>
      </c>
      <c r="M782" s="4">
        <f t="shared" si="408"/>
        <v>100</v>
      </c>
      <c r="N782" s="4">
        <f t="shared" si="401"/>
        <v>100</v>
      </c>
      <c r="O782" s="5">
        <v>3.7</v>
      </c>
      <c r="P782" t="s">
        <v>57</v>
      </c>
      <c r="Q782" t="s">
        <v>28</v>
      </c>
      <c r="R782" s="1">
        <v>0.94</v>
      </c>
      <c r="S782" s="6">
        <f t="shared" si="402"/>
        <v>0.94</v>
      </c>
    </row>
    <row r="783" spans="1:19" ht="13.5" x14ac:dyDescent="0.25">
      <c r="A783" t="s">
        <v>1703</v>
      </c>
      <c r="B783" t="s">
        <v>1704</v>
      </c>
      <c r="C783" t="str">
        <f t="shared" si="378"/>
        <v>Joshua Holloway</v>
      </c>
      <c r="D783" t="s">
        <v>32</v>
      </c>
      <c r="E783" s="3" t="str">
        <f t="shared" si="400"/>
        <v>Male</v>
      </c>
      <c r="F783" s="5">
        <v>59</v>
      </c>
      <c r="G783" t="s">
        <v>183</v>
      </c>
      <c r="H783" t="s">
        <v>39</v>
      </c>
      <c r="I783" t="s">
        <v>288</v>
      </c>
      <c r="J783" s="5">
        <v>17</v>
      </c>
      <c r="K783" s="3" t="str" cm="1">
        <f t="array" ref="K783">_xlfn.IFS(J783&lt;=5, "0-5", J783&lt;=10, "6-10", J783&lt;=15, "11-15", J783&lt;=20, "16-20", J783&gt;20, "21+")</f>
        <v>16-20</v>
      </c>
      <c r="L783">
        <v>50</v>
      </c>
      <c r="M783" s="4">
        <f t="shared" si="408"/>
        <v>50</v>
      </c>
      <c r="N783" s="4">
        <f t="shared" si="401"/>
        <v>50</v>
      </c>
      <c r="O783" s="5">
        <v>1.4</v>
      </c>
      <c r="P783" t="s">
        <v>27</v>
      </c>
      <c r="Q783" t="s">
        <v>28</v>
      </c>
      <c r="S783" s="7"/>
    </row>
    <row r="784" spans="1:19" ht="13.5" x14ac:dyDescent="0.25">
      <c r="A784" t="s">
        <v>1705</v>
      </c>
      <c r="B784" t="s">
        <v>1706</v>
      </c>
      <c r="C784" t="str">
        <f t="shared" si="378"/>
        <v>Cynthia Walton</v>
      </c>
      <c r="D784" t="s">
        <v>301</v>
      </c>
      <c r="E784" s="3" t="str">
        <f t="shared" si="400"/>
        <v>Female</v>
      </c>
      <c r="G784" t="s">
        <v>23</v>
      </c>
      <c r="H784" t="s">
        <v>24</v>
      </c>
      <c r="I784" t="s">
        <v>292</v>
      </c>
      <c r="J784" s="5">
        <v>9</v>
      </c>
      <c r="K784" s="3" t="str" cm="1">
        <f t="array" ref="K784">_xlfn.IFS(J784&lt;=5, "0-5", J784&lt;=10, "6-10", J784&lt;=15, "11-15", J784&lt;=20, "16-20", J784&gt;20, "21+")</f>
        <v>6-10</v>
      </c>
      <c r="L784" s="2">
        <v>100</v>
      </c>
      <c r="M784" s="4" t="str">
        <f>SUBSTITUTE(L784, "$","")</f>
        <v>100</v>
      </c>
      <c r="N784" s="4">
        <f t="shared" si="401"/>
        <v>100</v>
      </c>
      <c r="O784" s="5">
        <v>4.5</v>
      </c>
      <c r="P784" t="s">
        <v>57</v>
      </c>
      <c r="Q784" t="s">
        <v>28</v>
      </c>
      <c r="R784">
        <v>83</v>
      </c>
      <c r="S784" s="6">
        <f>R784/100</f>
        <v>0.83</v>
      </c>
    </row>
    <row r="785" spans="1:19" ht="13.5" x14ac:dyDescent="0.25">
      <c r="A785" t="s">
        <v>1707</v>
      </c>
      <c r="B785" t="s">
        <v>1708</v>
      </c>
      <c r="C785" t="str">
        <f t="shared" si="378"/>
        <v>Shawn Delgado</v>
      </c>
      <c r="D785" t="s">
        <v>328</v>
      </c>
      <c r="E785" s="3" t="str">
        <f t="shared" si="400"/>
        <v>Male</v>
      </c>
      <c r="F785" s="5">
        <v>21</v>
      </c>
      <c r="G785" t="s">
        <v>165</v>
      </c>
      <c r="H785" t="s">
        <v>166</v>
      </c>
      <c r="I785" t="s">
        <v>291</v>
      </c>
      <c r="J785" s="5">
        <v>0</v>
      </c>
      <c r="K785" s="3" t="str" cm="1">
        <f t="array" ref="K785">_xlfn.IFS(J785&lt;=5, "0-5", J785&lt;=10, "6-10", J785&lt;=15, "11-15", J785&lt;=20, "16-20", J785&gt;20, "21+")</f>
        <v>0-5</v>
      </c>
      <c r="L785" t="s">
        <v>99</v>
      </c>
      <c r="M785" s="4" t="str">
        <f t="shared" ref="M785" si="409">_xlfn.TEXTAFTER(L785, " ")</f>
        <v>40</v>
      </c>
      <c r="N785" s="4">
        <f t="shared" si="401"/>
        <v>40</v>
      </c>
      <c r="O785" s="5">
        <v>3.7</v>
      </c>
      <c r="P785">
        <v>0</v>
      </c>
      <c r="Q785" t="s">
        <v>54</v>
      </c>
      <c r="R785" s="1">
        <v>0.74</v>
      </c>
      <c r="S785" s="6">
        <f>R785</f>
        <v>0.74</v>
      </c>
    </row>
    <row r="786" spans="1:19" ht="13.5" x14ac:dyDescent="0.25">
      <c r="A786" t="s">
        <v>1709</v>
      </c>
      <c r="B786" t="s">
        <v>1710</v>
      </c>
      <c r="C786" t="str">
        <f t="shared" si="378"/>
        <v>Jeremy Smith</v>
      </c>
      <c r="D786" t="s">
        <v>32</v>
      </c>
      <c r="E786" s="3" t="str">
        <f t="shared" si="400"/>
        <v>Male</v>
      </c>
      <c r="F786" s="5">
        <v>53</v>
      </c>
      <c r="G786" t="s">
        <v>152</v>
      </c>
      <c r="H786" t="s">
        <v>39</v>
      </c>
      <c r="I786" t="s">
        <v>283</v>
      </c>
      <c r="J786" s="5">
        <v>5</v>
      </c>
      <c r="K786" s="3" t="str" cm="1">
        <f t="array" ref="K786">_xlfn.IFS(J786&lt;=5, "0-5", J786&lt;=10, "6-10", J786&lt;=15, "11-15", J786&lt;=20, "16-20", J786&gt;20, "21+")</f>
        <v>0-5</v>
      </c>
      <c r="L786">
        <v>75</v>
      </c>
      <c r="M786" s="4">
        <f>L786</f>
        <v>75</v>
      </c>
      <c r="N786" s="4">
        <f t="shared" si="401"/>
        <v>75</v>
      </c>
      <c r="O786" s="5">
        <v>1.1000000000000001</v>
      </c>
      <c r="P786">
        <v>0</v>
      </c>
      <c r="Q786" t="s">
        <v>54</v>
      </c>
      <c r="R786">
        <v>92</v>
      </c>
      <c r="S786" s="6">
        <f>R786/100</f>
        <v>0.92</v>
      </c>
    </row>
    <row r="787" spans="1:19" ht="13.5" x14ac:dyDescent="0.25">
      <c r="A787" t="s">
        <v>1711</v>
      </c>
      <c r="B787" t="s">
        <v>1712</v>
      </c>
      <c r="C787" t="str">
        <f t="shared" si="378"/>
        <v>Marc Ortiz</v>
      </c>
      <c r="D787" t="s">
        <v>328</v>
      </c>
      <c r="E787" s="3" t="str">
        <f t="shared" si="400"/>
        <v>Male</v>
      </c>
      <c r="F787" s="5">
        <v>35</v>
      </c>
      <c r="G787" t="s">
        <v>23</v>
      </c>
      <c r="H787" t="s">
        <v>24</v>
      </c>
      <c r="I787" t="s">
        <v>285</v>
      </c>
      <c r="J787" s="5">
        <v>15</v>
      </c>
      <c r="K787" s="3" t="str" cm="1">
        <f t="array" ref="K787">_xlfn.IFS(J787&lt;=5, "0-5", J787&lt;=10, "6-10", J787&lt;=15, "11-15", J787&lt;=20, "16-20", J787&gt;20, "21+")</f>
        <v>11-15</v>
      </c>
      <c r="N787" s="4" t="str">
        <f t="shared" si="401"/>
        <v>NA</v>
      </c>
      <c r="O787" s="5">
        <v>3.7</v>
      </c>
      <c r="P787" t="b">
        <v>0</v>
      </c>
      <c r="Q787" t="s">
        <v>54</v>
      </c>
      <c r="R787" s="1">
        <v>0.66</v>
      </c>
      <c r="S787" s="6">
        <f t="shared" ref="S787:S789" si="410">R787</f>
        <v>0.66</v>
      </c>
    </row>
    <row r="788" spans="1:19" ht="13.5" x14ac:dyDescent="0.25">
      <c r="A788" t="s">
        <v>1713</v>
      </c>
      <c r="B788" t="s">
        <v>1714</v>
      </c>
      <c r="C788" t="str">
        <f t="shared" si="378"/>
        <v>Michelle Gregory</v>
      </c>
      <c r="D788" t="s">
        <v>22</v>
      </c>
      <c r="E788" s="3" t="str">
        <f t="shared" si="400"/>
        <v>Female</v>
      </c>
      <c r="F788" s="5">
        <v>25</v>
      </c>
      <c r="G788" t="s">
        <v>47</v>
      </c>
      <c r="H788" t="s">
        <v>48</v>
      </c>
      <c r="I788" t="s">
        <v>284</v>
      </c>
      <c r="J788" s="5">
        <v>3</v>
      </c>
      <c r="K788" s="3" t="str" cm="1">
        <f t="array" ref="K788">_xlfn.IFS(J788&lt;=5, "0-5", J788&lt;=10, "6-10", J788&lt;=15, "11-15", J788&lt;=20, "16-20", J788&gt;20, "21+")</f>
        <v>0-5</v>
      </c>
      <c r="L788" s="2">
        <v>50</v>
      </c>
      <c r="M788" s="4" t="str">
        <f>SUBSTITUTE(L788, "$","")</f>
        <v>50</v>
      </c>
      <c r="N788" s="4">
        <f t="shared" si="401"/>
        <v>50</v>
      </c>
      <c r="O788" s="5">
        <v>3.2</v>
      </c>
      <c r="P788" t="b">
        <v>1</v>
      </c>
      <c r="Q788" t="s">
        <v>28</v>
      </c>
      <c r="R788" s="1">
        <v>0.74</v>
      </c>
      <c r="S788" s="6">
        <f t="shared" si="410"/>
        <v>0.74</v>
      </c>
    </row>
    <row r="789" spans="1:19" ht="13.5" x14ac:dyDescent="0.25">
      <c r="A789" t="s">
        <v>1715</v>
      </c>
      <c r="B789" t="s">
        <v>1716</v>
      </c>
      <c r="C789" t="str">
        <f t="shared" si="378"/>
        <v>Melanie Gay</v>
      </c>
      <c r="D789" t="s">
        <v>304</v>
      </c>
      <c r="E789" s="3" t="str">
        <f t="shared" si="400"/>
        <v>Female</v>
      </c>
      <c r="F789" s="5">
        <v>23</v>
      </c>
      <c r="G789" t="s">
        <v>253</v>
      </c>
      <c r="H789" t="s">
        <v>254</v>
      </c>
      <c r="I789" t="s">
        <v>286</v>
      </c>
      <c r="J789" s="5">
        <v>1</v>
      </c>
      <c r="K789" s="3" t="str" cm="1">
        <f t="array" ref="K789">_xlfn.IFS(J789&lt;=5, "0-5", J789&lt;=10, "6-10", J789&lt;=15, "11-15", J789&lt;=20, "16-20", J789&gt;20, "21+")</f>
        <v>0-5</v>
      </c>
      <c r="L789">
        <v>30</v>
      </c>
      <c r="M789" s="4">
        <f t="shared" ref="M789:M790" si="411">L789</f>
        <v>30</v>
      </c>
      <c r="N789" s="4">
        <f t="shared" si="401"/>
        <v>30</v>
      </c>
      <c r="O789" s="5">
        <v>5</v>
      </c>
      <c r="P789" t="s">
        <v>64</v>
      </c>
      <c r="Q789" t="s">
        <v>54</v>
      </c>
      <c r="R789" s="1">
        <v>0.97</v>
      </c>
      <c r="S789" s="6">
        <f t="shared" si="410"/>
        <v>0.97</v>
      </c>
    </row>
    <row r="790" spans="1:19" ht="13.5" x14ac:dyDescent="0.25">
      <c r="A790" t="s">
        <v>1717</v>
      </c>
      <c r="B790" t="s">
        <v>1718</v>
      </c>
      <c r="C790" t="str">
        <f t="shared" si="378"/>
        <v>Brittany Lambert</v>
      </c>
      <c r="D790" t="s">
        <v>301</v>
      </c>
      <c r="E790" s="3" t="str">
        <f t="shared" si="400"/>
        <v>Female</v>
      </c>
      <c r="F790" s="5">
        <v>56</v>
      </c>
      <c r="G790" t="s">
        <v>117</v>
      </c>
      <c r="H790" t="s">
        <v>118</v>
      </c>
      <c r="I790" t="s">
        <v>287</v>
      </c>
      <c r="J790" s="5">
        <v>13</v>
      </c>
      <c r="K790" s="3" t="str" cm="1">
        <f t="array" ref="K790">_xlfn.IFS(J790&lt;=5, "0-5", J790&lt;=10, "6-10", J790&lt;=15, "11-15", J790&lt;=20, "16-20", J790&gt;20, "21+")</f>
        <v>11-15</v>
      </c>
      <c r="L790">
        <v>30</v>
      </c>
      <c r="M790" s="4">
        <f t="shared" si="411"/>
        <v>30</v>
      </c>
      <c r="N790" s="4">
        <f t="shared" si="401"/>
        <v>30</v>
      </c>
      <c r="O790" s="5">
        <v>0</v>
      </c>
      <c r="R790">
        <v>77</v>
      </c>
      <c r="S790" s="6">
        <f>R790/100</f>
        <v>0.77</v>
      </c>
    </row>
    <row r="791" spans="1:19" ht="13.5" x14ac:dyDescent="0.25">
      <c r="A791" t="s">
        <v>1719</v>
      </c>
      <c r="B791" t="s">
        <v>1720</v>
      </c>
      <c r="C791" t="str">
        <f t="shared" si="378"/>
        <v>Mary Hernandez</v>
      </c>
      <c r="D791" t="s">
        <v>304</v>
      </c>
      <c r="E791" s="3" t="str">
        <f t="shared" si="400"/>
        <v>Female</v>
      </c>
      <c r="F791" s="5">
        <v>31</v>
      </c>
      <c r="G791" t="s">
        <v>44</v>
      </c>
      <c r="H791" t="s">
        <v>24</v>
      </c>
      <c r="I791" t="s">
        <v>286</v>
      </c>
      <c r="J791" s="5">
        <v>6</v>
      </c>
      <c r="K791" s="3" t="str" cm="1">
        <f t="array" ref="K791">_xlfn.IFS(J791&lt;=5, "0-5", J791&lt;=10, "6-10", J791&lt;=15, "11-15", J791&lt;=20, "16-20", J791&gt;20, "21+")</f>
        <v>6-10</v>
      </c>
      <c r="N791" s="4" t="str">
        <f t="shared" si="401"/>
        <v>NA</v>
      </c>
      <c r="O791" s="5">
        <v>3.5</v>
      </c>
      <c r="P791" t="s">
        <v>81</v>
      </c>
      <c r="Q791" t="s">
        <v>54</v>
      </c>
      <c r="R791" s="1">
        <v>0.86</v>
      </c>
      <c r="S791" s="6">
        <f t="shared" ref="S791:S795" si="412">R791</f>
        <v>0.86</v>
      </c>
    </row>
    <row r="792" spans="1:19" ht="13.5" x14ac:dyDescent="0.25">
      <c r="A792" t="s">
        <v>1721</v>
      </c>
      <c r="B792" t="s">
        <v>1722</v>
      </c>
      <c r="C792" t="str">
        <f t="shared" si="378"/>
        <v>Jonathan Jones</v>
      </c>
      <c r="D792" t="s">
        <v>328</v>
      </c>
      <c r="E792" s="3" t="str">
        <f t="shared" si="400"/>
        <v>Male</v>
      </c>
      <c r="F792" s="5">
        <v>24</v>
      </c>
      <c r="G792" t="s">
        <v>183</v>
      </c>
      <c r="H792" t="s">
        <v>39</v>
      </c>
      <c r="I792" t="s">
        <v>288</v>
      </c>
      <c r="J792" s="5">
        <v>4</v>
      </c>
      <c r="K792" s="3" t="str" cm="1">
        <f t="array" ref="K792">_xlfn.IFS(J792&lt;=5, "0-5", J792&lt;=10, "6-10", J792&lt;=15, "11-15", J792&lt;=20, "16-20", J792&gt;20, "21+")</f>
        <v>0-5</v>
      </c>
      <c r="L792">
        <v>50</v>
      </c>
      <c r="M792" s="4">
        <f>L792</f>
        <v>50</v>
      </c>
      <c r="N792" s="4">
        <f t="shared" si="401"/>
        <v>50</v>
      </c>
      <c r="O792" s="5">
        <v>3.1</v>
      </c>
      <c r="P792" t="b">
        <v>0</v>
      </c>
      <c r="Q792" t="s">
        <v>54</v>
      </c>
      <c r="R792" s="1">
        <v>0.95</v>
      </c>
      <c r="S792" s="6">
        <f t="shared" si="412"/>
        <v>0.95</v>
      </c>
    </row>
    <row r="793" spans="1:19" ht="13.5" x14ac:dyDescent="0.25">
      <c r="A793" t="s">
        <v>1723</v>
      </c>
      <c r="B793" t="s">
        <v>1724</v>
      </c>
      <c r="C793" t="str">
        <f t="shared" si="378"/>
        <v>Gina Williams</v>
      </c>
      <c r="D793" t="s">
        <v>21</v>
      </c>
      <c r="E793" s="3" t="str">
        <f t="shared" si="400"/>
        <v>Female</v>
      </c>
      <c r="F793" s="5">
        <v>35</v>
      </c>
      <c r="G793" t="s">
        <v>47</v>
      </c>
      <c r="H793" t="s">
        <v>48</v>
      </c>
      <c r="I793" t="s">
        <v>288</v>
      </c>
      <c r="J793" s="5">
        <v>7</v>
      </c>
      <c r="K793" s="3" t="str" cm="1">
        <f t="array" ref="K793">_xlfn.IFS(J793&lt;=5, "0-5", J793&lt;=10, "6-10", J793&lt;=15, "11-15", J793&lt;=20, "16-20", J793&gt;20, "21+")</f>
        <v>6-10</v>
      </c>
      <c r="N793" s="4" t="str">
        <f t="shared" si="401"/>
        <v>NA</v>
      </c>
      <c r="O793" s="5">
        <v>3.9</v>
      </c>
      <c r="P793">
        <v>0</v>
      </c>
      <c r="Q793" t="s">
        <v>54</v>
      </c>
      <c r="R793" s="1">
        <v>0.72</v>
      </c>
      <c r="S793" s="6">
        <f t="shared" si="412"/>
        <v>0.72</v>
      </c>
    </row>
    <row r="794" spans="1:19" ht="13.5" x14ac:dyDescent="0.25">
      <c r="A794" t="s">
        <v>121</v>
      </c>
      <c r="B794" t="s">
        <v>122</v>
      </c>
      <c r="C794" t="str">
        <f t="shared" si="378"/>
        <v>Kelly Lawson</v>
      </c>
      <c r="D794" t="s">
        <v>21</v>
      </c>
      <c r="E794" s="3" t="str">
        <f t="shared" si="400"/>
        <v>Female</v>
      </c>
      <c r="F794" s="5">
        <v>20</v>
      </c>
      <c r="G794" t="s">
        <v>84</v>
      </c>
      <c r="H794" t="s">
        <v>24</v>
      </c>
      <c r="I794" t="s">
        <v>25</v>
      </c>
      <c r="J794" s="5">
        <v>1</v>
      </c>
      <c r="K794" s="3" t="str" cm="1">
        <f t="array" ref="K794">_xlfn.IFS(J794&lt;=5, "0-5", J794&lt;=10, "6-10", J794&lt;=15, "11-15", J794&lt;=20, "16-20", J794&gt;20, "21+")</f>
        <v>0-5</v>
      </c>
      <c r="N794" s="4" t="str">
        <f t="shared" si="401"/>
        <v>NA</v>
      </c>
      <c r="O794" s="5">
        <v>3.5</v>
      </c>
      <c r="P794">
        <v>0</v>
      </c>
      <c r="Q794" t="s">
        <v>54</v>
      </c>
      <c r="R794" s="1">
        <v>0.71</v>
      </c>
      <c r="S794" s="6">
        <f t="shared" si="412"/>
        <v>0.71</v>
      </c>
    </row>
    <row r="795" spans="1:19" ht="13.5" x14ac:dyDescent="0.25">
      <c r="A795" t="s">
        <v>1725</v>
      </c>
      <c r="B795" t="s">
        <v>1726</v>
      </c>
      <c r="C795" t="str">
        <f t="shared" ref="C795:C809" si="413">B795</f>
        <v>Keith Smith</v>
      </c>
      <c r="D795" t="s">
        <v>32</v>
      </c>
      <c r="E795" s="3" t="str">
        <f t="shared" si="400"/>
        <v>Male</v>
      </c>
      <c r="F795" s="5">
        <v>26</v>
      </c>
      <c r="G795" t="s">
        <v>38</v>
      </c>
      <c r="H795" t="s">
        <v>39</v>
      </c>
      <c r="I795" t="s">
        <v>291</v>
      </c>
      <c r="J795" s="5">
        <v>5</v>
      </c>
      <c r="K795" s="3" t="str" cm="1">
        <f t="array" ref="K795">_xlfn.IFS(J795&lt;=5, "0-5", J795&lt;=10, "6-10", J795&lt;=15, "11-15", J795&lt;=20, "16-20", J795&gt;20, "21+")</f>
        <v>0-5</v>
      </c>
      <c r="L795" s="2">
        <v>100</v>
      </c>
      <c r="M795" s="4" t="str">
        <f>SUBSTITUTE(L795, "$","")</f>
        <v>100</v>
      </c>
      <c r="N795" s="4">
        <f t="shared" si="401"/>
        <v>100</v>
      </c>
      <c r="O795" s="5">
        <v>2.5</v>
      </c>
      <c r="P795" t="b">
        <v>1</v>
      </c>
      <c r="Q795" t="s">
        <v>28</v>
      </c>
      <c r="R795" s="1">
        <v>0.93</v>
      </c>
      <c r="S795" s="6">
        <f t="shared" si="412"/>
        <v>0.93</v>
      </c>
    </row>
    <row r="796" spans="1:19" ht="13.5" x14ac:dyDescent="0.25">
      <c r="A796" t="s">
        <v>1727</v>
      </c>
      <c r="B796" t="s">
        <v>1728</v>
      </c>
      <c r="C796" t="str">
        <f t="shared" si="413"/>
        <v>Christopher Hunter</v>
      </c>
      <c r="D796" t="s">
        <v>328</v>
      </c>
      <c r="E796" s="3" t="str">
        <f t="shared" si="400"/>
        <v>Male</v>
      </c>
      <c r="F796" s="5">
        <v>54</v>
      </c>
      <c r="G796" t="s">
        <v>152</v>
      </c>
      <c r="H796" t="s">
        <v>39</v>
      </c>
      <c r="I796" t="s">
        <v>283</v>
      </c>
      <c r="J796" s="5">
        <v>29</v>
      </c>
      <c r="K796" s="3" t="str" cm="1">
        <f t="array" ref="K796">_xlfn.IFS(J796&lt;=5, "0-5", J796&lt;=10, "6-10", J796&lt;=15, "11-15", J796&lt;=20, "16-20", J796&gt;20, "21+")</f>
        <v>21+</v>
      </c>
      <c r="L796" t="s">
        <v>99</v>
      </c>
      <c r="M796" s="4" t="str">
        <f t="shared" ref="M796" si="414">_xlfn.TEXTAFTER(L796, " ")</f>
        <v>40</v>
      </c>
      <c r="N796" s="4">
        <f t="shared" si="401"/>
        <v>40</v>
      </c>
      <c r="O796" s="5">
        <v>3.1</v>
      </c>
      <c r="P796">
        <v>1</v>
      </c>
      <c r="Q796" t="s">
        <v>28</v>
      </c>
      <c r="S796" s="7"/>
    </row>
    <row r="797" spans="1:19" ht="13.5" x14ac:dyDescent="0.25">
      <c r="A797" t="s">
        <v>1729</v>
      </c>
      <c r="B797" t="s">
        <v>1730</v>
      </c>
      <c r="C797" t="str">
        <f t="shared" si="413"/>
        <v>Dwayne Parks</v>
      </c>
      <c r="D797" t="s">
        <v>43</v>
      </c>
      <c r="E797" s="3" t="str">
        <f t="shared" si="400"/>
        <v>Male</v>
      </c>
      <c r="F797" s="5">
        <v>53</v>
      </c>
      <c r="G797" t="s">
        <v>95</v>
      </c>
      <c r="H797" t="s">
        <v>96</v>
      </c>
      <c r="I797" t="s">
        <v>288</v>
      </c>
      <c r="J797" s="5">
        <v>12</v>
      </c>
      <c r="K797" s="3" t="str" cm="1">
        <f t="array" ref="K797">_xlfn.IFS(J797&lt;=5, "0-5", J797&lt;=10, "6-10", J797&lt;=15, "11-15", J797&lt;=20, "16-20", J797&gt;20, "21+")</f>
        <v>11-15</v>
      </c>
      <c r="L797">
        <v>100</v>
      </c>
      <c r="M797" s="4">
        <f>L797</f>
        <v>100</v>
      </c>
      <c r="N797" s="4">
        <f t="shared" si="401"/>
        <v>100</v>
      </c>
      <c r="O797" s="5">
        <v>4.7</v>
      </c>
      <c r="P797">
        <v>1</v>
      </c>
      <c r="Q797" t="s">
        <v>28</v>
      </c>
      <c r="R797" s="1">
        <v>0.87</v>
      </c>
      <c r="S797" s="6">
        <f>R797</f>
        <v>0.87</v>
      </c>
    </row>
    <row r="798" spans="1:19" ht="13.5" x14ac:dyDescent="0.25">
      <c r="A798" t="s">
        <v>1731</v>
      </c>
      <c r="B798" t="s">
        <v>1732</v>
      </c>
      <c r="C798" t="str">
        <f t="shared" si="413"/>
        <v>Mary Hall</v>
      </c>
      <c r="D798" t="s">
        <v>22</v>
      </c>
      <c r="E798" s="3" t="str">
        <f t="shared" si="400"/>
        <v>Female</v>
      </c>
      <c r="F798" s="5">
        <v>33</v>
      </c>
      <c r="G798" t="s">
        <v>125</v>
      </c>
      <c r="H798" t="s">
        <v>39</v>
      </c>
      <c r="I798" t="s">
        <v>283</v>
      </c>
      <c r="J798" s="5">
        <v>4</v>
      </c>
      <c r="K798" s="3" t="str" cm="1">
        <f t="array" ref="K798">_xlfn.IFS(J798&lt;=5, "0-5", J798&lt;=10, "6-10", J798&lt;=15, "11-15", J798&lt;=20, "16-20", J798&gt;20, "21+")</f>
        <v>0-5</v>
      </c>
      <c r="N798" s="4" t="str">
        <f t="shared" si="401"/>
        <v>NA</v>
      </c>
      <c r="O798" s="5">
        <v>1.9</v>
      </c>
      <c r="P798" t="b">
        <v>0</v>
      </c>
      <c r="Q798" t="s">
        <v>54</v>
      </c>
      <c r="R798">
        <v>73</v>
      </c>
      <c r="S798" s="6">
        <f>R798/100</f>
        <v>0.73</v>
      </c>
    </row>
    <row r="799" spans="1:19" ht="13.5" x14ac:dyDescent="0.25">
      <c r="A799" t="s">
        <v>1733</v>
      </c>
      <c r="B799" t="s">
        <v>1734</v>
      </c>
      <c r="C799" t="str">
        <f t="shared" si="413"/>
        <v>Jake Gilmore</v>
      </c>
      <c r="D799" t="s">
        <v>43</v>
      </c>
      <c r="E799" s="3" t="str">
        <f t="shared" si="400"/>
        <v>Male</v>
      </c>
      <c r="F799" s="5">
        <v>43</v>
      </c>
      <c r="G799" t="s">
        <v>52</v>
      </c>
      <c r="H799" t="s">
        <v>53</v>
      </c>
      <c r="I799" t="s">
        <v>290</v>
      </c>
      <c r="J799" s="5">
        <v>12</v>
      </c>
      <c r="K799" s="3" t="str" cm="1">
        <f t="array" ref="K799">_xlfn.IFS(J799&lt;=5, "0-5", J799&lt;=10, "6-10", J799&lt;=15, "11-15", J799&lt;=20, "16-20", J799&gt;20, "21+")</f>
        <v>11-15</v>
      </c>
      <c r="N799" s="4" t="str">
        <f t="shared" si="401"/>
        <v>NA</v>
      </c>
      <c r="O799" s="5">
        <v>1.6</v>
      </c>
      <c r="P799">
        <v>1</v>
      </c>
      <c r="Q799" t="s">
        <v>28</v>
      </c>
      <c r="R799" s="1">
        <v>0.74</v>
      </c>
      <c r="S799" s="6">
        <f t="shared" ref="S799:S802" si="415">R799</f>
        <v>0.74</v>
      </c>
    </row>
    <row r="800" spans="1:19" ht="13.5" x14ac:dyDescent="0.25">
      <c r="A800" t="s">
        <v>1735</v>
      </c>
      <c r="B800" t="s">
        <v>1736</v>
      </c>
      <c r="C800" t="str">
        <f t="shared" si="413"/>
        <v>Mark Lopez</v>
      </c>
      <c r="D800" t="s">
        <v>328</v>
      </c>
      <c r="E800" s="3" t="str">
        <f t="shared" si="400"/>
        <v>Male</v>
      </c>
      <c r="F800" s="5">
        <v>37</v>
      </c>
      <c r="G800" t="s">
        <v>125</v>
      </c>
      <c r="H800" t="s">
        <v>39</v>
      </c>
      <c r="I800" t="s">
        <v>283</v>
      </c>
      <c r="J800" s="5">
        <v>3</v>
      </c>
      <c r="K800" s="3" t="str" cm="1">
        <f t="array" ref="K800">_xlfn.IFS(J800&lt;=5, "0-5", J800&lt;=10, "6-10", J800&lt;=15, "11-15", J800&lt;=20, "16-20", J800&gt;20, "21+")</f>
        <v>0-5</v>
      </c>
      <c r="L800">
        <v>20</v>
      </c>
      <c r="M800" s="4">
        <f t="shared" ref="M800:M802" si="416">L800</f>
        <v>20</v>
      </c>
      <c r="N800" s="4">
        <f t="shared" si="401"/>
        <v>20</v>
      </c>
      <c r="O800" s="5">
        <v>2.5</v>
      </c>
      <c r="P800" t="s">
        <v>64</v>
      </c>
      <c r="Q800" t="s">
        <v>54</v>
      </c>
      <c r="R800" s="1">
        <v>0.62</v>
      </c>
      <c r="S800" s="6">
        <f t="shared" si="415"/>
        <v>0.62</v>
      </c>
    </row>
    <row r="801" spans="1:19" ht="13.5" x14ac:dyDescent="0.25">
      <c r="A801" t="s">
        <v>1737</v>
      </c>
      <c r="B801" t="s">
        <v>1738</v>
      </c>
      <c r="C801" t="str">
        <f t="shared" si="413"/>
        <v>Dana Rice</v>
      </c>
      <c r="D801" t="s">
        <v>304</v>
      </c>
      <c r="E801" s="3" t="str">
        <f t="shared" si="400"/>
        <v>Female</v>
      </c>
      <c r="F801" s="5">
        <v>58</v>
      </c>
      <c r="G801" t="s">
        <v>132</v>
      </c>
      <c r="H801" t="s">
        <v>133</v>
      </c>
      <c r="I801" t="s">
        <v>291</v>
      </c>
      <c r="J801" s="5">
        <v>15</v>
      </c>
      <c r="K801" s="3" t="str" cm="1">
        <f t="array" ref="K801">_xlfn.IFS(J801&lt;=5, "0-5", J801&lt;=10, "6-10", J801&lt;=15, "11-15", J801&lt;=20, "16-20", J801&gt;20, "21+")</f>
        <v>11-15</v>
      </c>
      <c r="L801">
        <v>20</v>
      </c>
      <c r="M801" s="4">
        <f t="shared" si="416"/>
        <v>20</v>
      </c>
      <c r="N801" s="4">
        <f t="shared" si="401"/>
        <v>20</v>
      </c>
      <c r="O801" s="5">
        <v>3.5</v>
      </c>
      <c r="R801" s="1">
        <v>0.98</v>
      </c>
      <c r="S801" s="6">
        <f t="shared" si="415"/>
        <v>0.98</v>
      </c>
    </row>
    <row r="802" spans="1:19" ht="13.5" x14ac:dyDescent="0.25">
      <c r="A802" t="s">
        <v>1739</v>
      </c>
      <c r="B802" t="s">
        <v>1740</v>
      </c>
      <c r="C802" t="str">
        <f t="shared" si="413"/>
        <v>Beth Young</v>
      </c>
      <c r="D802" t="s">
        <v>21</v>
      </c>
      <c r="E802" s="3" t="str">
        <f t="shared" si="400"/>
        <v>Female</v>
      </c>
      <c r="F802" s="5">
        <v>39</v>
      </c>
      <c r="G802" t="s">
        <v>84</v>
      </c>
      <c r="H802" t="s">
        <v>24</v>
      </c>
      <c r="I802" t="s">
        <v>285</v>
      </c>
      <c r="J802" s="5">
        <v>15</v>
      </c>
      <c r="K802" s="3" t="str" cm="1">
        <f t="array" ref="K802">_xlfn.IFS(J802&lt;=5, "0-5", J802&lt;=10, "6-10", J802&lt;=15, "11-15", J802&lt;=20, "16-20", J802&gt;20, "21+")</f>
        <v>11-15</v>
      </c>
      <c r="L802">
        <v>50</v>
      </c>
      <c r="M802" s="4">
        <f t="shared" si="416"/>
        <v>50</v>
      </c>
      <c r="N802" s="4">
        <f t="shared" si="401"/>
        <v>50</v>
      </c>
      <c r="P802">
        <v>0</v>
      </c>
      <c r="Q802" t="s">
        <v>54</v>
      </c>
      <c r="R802" s="1">
        <v>0.8</v>
      </c>
      <c r="S802" s="6">
        <f t="shared" si="415"/>
        <v>0.8</v>
      </c>
    </row>
    <row r="803" spans="1:19" ht="13.5" x14ac:dyDescent="0.25">
      <c r="A803" t="s">
        <v>1741</v>
      </c>
      <c r="B803" t="s">
        <v>1742</v>
      </c>
      <c r="C803" t="str">
        <f t="shared" si="413"/>
        <v>Ryan Powell</v>
      </c>
      <c r="D803" t="s">
        <v>31</v>
      </c>
      <c r="E803" s="3" t="str">
        <f t="shared" si="400"/>
        <v>Male</v>
      </c>
      <c r="F803" s="5">
        <v>43</v>
      </c>
      <c r="G803" t="s">
        <v>67</v>
      </c>
      <c r="H803" t="s">
        <v>68</v>
      </c>
      <c r="I803" t="s">
        <v>287</v>
      </c>
      <c r="J803" s="5">
        <v>13</v>
      </c>
      <c r="K803" s="3" t="str" cm="1">
        <f t="array" ref="K803">_xlfn.IFS(J803&lt;=5, "0-5", J803&lt;=10, "6-10", J803&lt;=15, "11-15", J803&lt;=20, "16-20", J803&gt;20, "21+")</f>
        <v>11-15</v>
      </c>
      <c r="L803" t="s">
        <v>78</v>
      </c>
      <c r="M803" s="4" t="str">
        <f t="shared" ref="M803:M804" si="417">_xlfn.TEXTAFTER(L803, " ")</f>
        <v>20</v>
      </c>
      <c r="N803" s="4">
        <f t="shared" si="401"/>
        <v>20</v>
      </c>
      <c r="O803" s="5">
        <v>1.2</v>
      </c>
      <c r="P803" t="s">
        <v>57</v>
      </c>
      <c r="Q803" t="s">
        <v>28</v>
      </c>
      <c r="R803">
        <v>69</v>
      </c>
      <c r="S803" s="6">
        <f t="shared" ref="S803:S804" si="418">R803/100</f>
        <v>0.69</v>
      </c>
    </row>
    <row r="804" spans="1:19" ht="13.5" x14ac:dyDescent="0.25">
      <c r="A804" t="s">
        <v>1743</v>
      </c>
      <c r="B804" t="s">
        <v>1744</v>
      </c>
      <c r="C804" t="str">
        <f t="shared" si="413"/>
        <v>Amanda Fowler</v>
      </c>
      <c r="D804" t="s">
        <v>22</v>
      </c>
      <c r="E804" s="3" t="str">
        <f t="shared" si="400"/>
        <v>Female</v>
      </c>
      <c r="F804" s="5">
        <v>40</v>
      </c>
      <c r="G804" t="s">
        <v>84</v>
      </c>
      <c r="H804" t="s">
        <v>24</v>
      </c>
      <c r="I804" t="s">
        <v>292</v>
      </c>
      <c r="J804" s="5">
        <v>20</v>
      </c>
      <c r="K804" s="3" t="str" cm="1">
        <f t="array" ref="K804">_xlfn.IFS(J804&lt;=5, "0-5", J804&lt;=10, "6-10", J804&lt;=15, "11-15", J804&lt;=20, "16-20", J804&gt;20, "21+")</f>
        <v>16-20</v>
      </c>
      <c r="L804" t="s">
        <v>72</v>
      </c>
      <c r="M804" s="4" t="str">
        <f t="shared" si="417"/>
        <v>30</v>
      </c>
      <c r="N804" s="4">
        <f t="shared" si="401"/>
        <v>30</v>
      </c>
      <c r="P804" t="b">
        <v>0</v>
      </c>
      <c r="Q804" t="s">
        <v>54</v>
      </c>
      <c r="R804">
        <v>90</v>
      </c>
      <c r="S804" s="6">
        <f t="shared" si="418"/>
        <v>0.9</v>
      </c>
    </row>
    <row r="805" spans="1:19" ht="13.5" x14ac:dyDescent="0.25">
      <c r="A805" t="s">
        <v>1745</v>
      </c>
      <c r="B805" t="s">
        <v>1746</v>
      </c>
      <c r="C805" t="str">
        <f t="shared" si="413"/>
        <v>Lindsay Rivera</v>
      </c>
      <c r="D805" t="s">
        <v>37</v>
      </c>
      <c r="E805" s="3" t="str">
        <f t="shared" si="400"/>
        <v>Female</v>
      </c>
      <c r="F805" s="5">
        <v>51</v>
      </c>
      <c r="G805" t="s">
        <v>152</v>
      </c>
      <c r="H805" t="s">
        <v>39</v>
      </c>
      <c r="I805" t="s">
        <v>284</v>
      </c>
      <c r="J805" s="5">
        <v>30</v>
      </c>
      <c r="K805" s="3" t="str" cm="1">
        <f t="array" ref="K805">_xlfn.IFS(J805&lt;=5, "0-5", J805&lt;=10, "6-10", J805&lt;=15, "11-15", J805&lt;=20, "16-20", J805&gt;20, "21+")</f>
        <v>21+</v>
      </c>
      <c r="L805">
        <v>75</v>
      </c>
      <c r="M805" s="4">
        <f t="shared" ref="M805:M806" si="419">L805</f>
        <v>75</v>
      </c>
      <c r="N805" s="4">
        <f t="shared" si="401"/>
        <v>75</v>
      </c>
      <c r="P805" t="b">
        <v>1</v>
      </c>
      <c r="Q805" t="s">
        <v>28</v>
      </c>
      <c r="R805" s="1">
        <v>0.74</v>
      </c>
      <c r="S805" s="6">
        <f t="shared" ref="S805:S808" si="420">R805</f>
        <v>0.74</v>
      </c>
    </row>
    <row r="806" spans="1:19" ht="13.5" x14ac:dyDescent="0.25">
      <c r="A806" t="s">
        <v>119</v>
      </c>
      <c r="B806" t="s">
        <v>120</v>
      </c>
      <c r="C806" t="str">
        <f t="shared" si="413"/>
        <v>Mark Ward</v>
      </c>
      <c r="D806" t="s">
        <v>31</v>
      </c>
      <c r="E806" s="3" t="str">
        <f t="shared" si="400"/>
        <v>Male</v>
      </c>
      <c r="F806" s="5">
        <v>23</v>
      </c>
      <c r="G806" t="s">
        <v>33</v>
      </c>
      <c r="H806" t="s">
        <v>34</v>
      </c>
      <c r="I806" t="s">
        <v>25</v>
      </c>
      <c r="J806" s="5">
        <v>4</v>
      </c>
      <c r="K806" s="3" t="str" cm="1">
        <f t="array" ref="K806">_xlfn.IFS(J806&lt;=5, "0-5", J806&lt;=10, "6-10", J806&lt;=15, "11-15", J806&lt;=20, "16-20", J806&gt;20, "21+")</f>
        <v>0-5</v>
      </c>
      <c r="L806">
        <v>50</v>
      </c>
      <c r="M806" s="4">
        <f t="shared" si="419"/>
        <v>50</v>
      </c>
      <c r="N806" s="4">
        <f t="shared" si="401"/>
        <v>50</v>
      </c>
      <c r="O806" s="5">
        <v>4.5</v>
      </c>
      <c r="P806" t="s">
        <v>64</v>
      </c>
      <c r="Q806" t="s">
        <v>54</v>
      </c>
      <c r="R806" s="1">
        <v>0.98</v>
      </c>
      <c r="S806" s="6">
        <f t="shared" si="420"/>
        <v>0.98</v>
      </c>
    </row>
    <row r="807" spans="1:19" ht="13.5" x14ac:dyDescent="0.25">
      <c r="A807" t="s">
        <v>1747</v>
      </c>
      <c r="B807" t="s">
        <v>1748</v>
      </c>
      <c r="C807" t="str">
        <f t="shared" si="413"/>
        <v>Amanda Smith</v>
      </c>
      <c r="D807" t="s">
        <v>37</v>
      </c>
      <c r="E807" s="3" t="str">
        <f t="shared" si="400"/>
        <v>Female</v>
      </c>
      <c r="F807" s="5">
        <v>31</v>
      </c>
      <c r="G807" t="s">
        <v>104</v>
      </c>
      <c r="H807" t="s">
        <v>105</v>
      </c>
      <c r="I807" t="s">
        <v>287</v>
      </c>
      <c r="K807" s="3" t="str" cm="1">
        <f t="array" ref="K807">_xlfn.IFS(J807&lt;=5, "0-5", J807&lt;=10, "6-10", J807&lt;=15, "11-15", J807&lt;=20, "16-20", J807&gt;20, "21+")</f>
        <v>0-5</v>
      </c>
      <c r="L807" t="s">
        <v>78</v>
      </c>
      <c r="M807" s="4" t="str">
        <f t="shared" ref="M807" si="421">_xlfn.TEXTAFTER(L807, " ")</f>
        <v>20</v>
      </c>
      <c r="N807" s="4">
        <f t="shared" si="401"/>
        <v>20</v>
      </c>
      <c r="P807" t="s">
        <v>57</v>
      </c>
      <c r="Q807" t="s">
        <v>28</v>
      </c>
      <c r="R807" s="1">
        <v>0.84</v>
      </c>
      <c r="S807" s="6">
        <f t="shared" si="420"/>
        <v>0.84</v>
      </c>
    </row>
    <row r="808" spans="1:19" ht="13.5" x14ac:dyDescent="0.25">
      <c r="A808" t="s">
        <v>1749</v>
      </c>
      <c r="B808" t="s">
        <v>1750</v>
      </c>
      <c r="C808" t="str">
        <f t="shared" si="413"/>
        <v>Emily Brown</v>
      </c>
      <c r="D808" t="s">
        <v>21</v>
      </c>
      <c r="E808" s="3" t="str">
        <f t="shared" si="400"/>
        <v>Female</v>
      </c>
      <c r="F808" s="5">
        <v>44</v>
      </c>
      <c r="G808" t="s">
        <v>95</v>
      </c>
      <c r="H808" t="s">
        <v>96</v>
      </c>
      <c r="I808" t="s">
        <v>290</v>
      </c>
      <c r="J808" s="5">
        <v>3</v>
      </c>
      <c r="K808" s="3" t="str" cm="1">
        <f t="array" ref="K808">_xlfn.IFS(J808&lt;=5, "0-5", J808&lt;=10, "6-10", J808&lt;=15, "11-15", J808&lt;=20, "16-20", J808&gt;20, "21+")</f>
        <v>0-5</v>
      </c>
      <c r="L808" s="2">
        <v>20</v>
      </c>
      <c r="M808" s="4" t="str">
        <f>SUBSTITUTE(L808, "$","")</f>
        <v>20</v>
      </c>
      <c r="N808" s="4">
        <f t="shared" si="401"/>
        <v>20</v>
      </c>
      <c r="O808" s="5">
        <v>5</v>
      </c>
      <c r="P808" t="s">
        <v>27</v>
      </c>
      <c r="Q808" t="s">
        <v>28</v>
      </c>
      <c r="R808" s="1">
        <v>0.75</v>
      </c>
      <c r="S808" s="6">
        <f t="shared" si="420"/>
        <v>0.75</v>
      </c>
    </row>
    <row r="809" spans="1:19" ht="13.5" x14ac:dyDescent="0.25">
      <c r="A809" t="s">
        <v>1751</v>
      </c>
      <c r="B809" t="s">
        <v>1752</v>
      </c>
      <c r="C809" t="str">
        <f t="shared" si="413"/>
        <v>Dwayne Cardenas</v>
      </c>
      <c r="D809" t="s">
        <v>32</v>
      </c>
      <c r="E809" s="3" t="str">
        <f t="shared" si="400"/>
        <v>Male</v>
      </c>
      <c r="F809" s="5">
        <v>56</v>
      </c>
      <c r="G809" t="s">
        <v>33</v>
      </c>
      <c r="H809" t="s">
        <v>34</v>
      </c>
      <c r="I809" t="s">
        <v>285</v>
      </c>
      <c r="J809" s="5">
        <v>23</v>
      </c>
      <c r="K809" s="3" t="str" cm="1">
        <f t="array" ref="K809">_xlfn.IFS(J809&lt;=5, "0-5", J809&lt;=10, "6-10", J809&lt;=15, "11-15", J809&lt;=20, "16-20", J809&gt;20, "21+")</f>
        <v>21+</v>
      </c>
      <c r="L809">
        <v>75</v>
      </c>
      <c r="M809" s="4">
        <f>L809</f>
        <v>75</v>
      </c>
      <c r="N809" s="4">
        <f t="shared" si="401"/>
        <v>75</v>
      </c>
      <c r="O809" s="5">
        <v>3.9</v>
      </c>
      <c r="P809">
        <v>1</v>
      </c>
      <c r="Q809" t="s">
        <v>28</v>
      </c>
      <c r="S809" s="7"/>
    </row>
    <row r="810" spans="1:19" ht="13.5" x14ac:dyDescent="0.25">
      <c r="A810" t="s">
        <v>1753</v>
      </c>
      <c r="B810" t="s">
        <v>1754</v>
      </c>
      <c r="C810" t="str">
        <f>_xlfn.TEXTAFTER(B810,". ",)</f>
        <v>Rhonda Hernandez</v>
      </c>
      <c r="D810" t="s">
        <v>21</v>
      </c>
      <c r="E810" s="3" t="str">
        <f t="shared" si="400"/>
        <v>Female</v>
      </c>
      <c r="F810" s="5">
        <v>48</v>
      </c>
      <c r="G810" t="s">
        <v>38</v>
      </c>
      <c r="H810" t="s">
        <v>39</v>
      </c>
      <c r="I810" t="s">
        <v>288</v>
      </c>
      <c r="J810" s="5">
        <v>5</v>
      </c>
      <c r="K810" s="3" t="str" cm="1">
        <f t="array" ref="K810">_xlfn.IFS(J810&lt;=5, "0-5", J810&lt;=10, "6-10", J810&lt;=15, "11-15", J810&lt;=20, "16-20", J810&gt;20, "21+")</f>
        <v>0-5</v>
      </c>
      <c r="L810" s="2">
        <v>100</v>
      </c>
      <c r="M810" s="4" t="str">
        <f>SUBSTITUTE(L810, "$","")</f>
        <v>100</v>
      </c>
      <c r="N810" s="4">
        <f t="shared" si="401"/>
        <v>100</v>
      </c>
      <c r="O810" s="5">
        <v>1.8</v>
      </c>
      <c r="P810" t="b">
        <v>1</v>
      </c>
      <c r="Q810" t="s">
        <v>28</v>
      </c>
      <c r="R810" s="1">
        <v>0.97</v>
      </c>
      <c r="S810" s="6">
        <f>R810</f>
        <v>0.97</v>
      </c>
    </row>
    <row r="811" spans="1:19" ht="13.5" x14ac:dyDescent="0.25">
      <c r="A811" t="s">
        <v>1755</v>
      </c>
      <c r="B811" t="s">
        <v>1756</v>
      </c>
      <c r="C811" t="str">
        <f t="shared" ref="C811:C874" si="422">B811</f>
        <v>Melody Barker</v>
      </c>
      <c r="D811" t="s">
        <v>37</v>
      </c>
      <c r="E811" s="3" t="str">
        <f t="shared" si="400"/>
        <v>Female</v>
      </c>
      <c r="F811" s="5">
        <v>46</v>
      </c>
      <c r="G811" t="s">
        <v>95</v>
      </c>
      <c r="H811" t="s">
        <v>96</v>
      </c>
      <c r="I811" t="s">
        <v>290</v>
      </c>
      <c r="J811" s="5">
        <v>28</v>
      </c>
      <c r="K811" s="3" t="str" cm="1">
        <f t="array" ref="K811">_xlfn.IFS(J811&lt;=5, "0-5", J811&lt;=10, "6-10", J811&lt;=15, "11-15", J811&lt;=20, "16-20", J811&gt;20, "21+")</f>
        <v>21+</v>
      </c>
      <c r="L811">
        <v>30</v>
      </c>
      <c r="M811" s="4">
        <f t="shared" ref="M811:M813" si="423">L811</f>
        <v>30</v>
      </c>
      <c r="N811" s="4">
        <f t="shared" si="401"/>
        <v>30</v>
      </c>
      <c r="O811" s="5">
        <v>4.2</v>
      </c>
      <c r="P811" t="b">
        <v>1</v>
      </c>
      <c r="Q811" t="s">
        <v>28</v>
      </c>
      <c r="S811" s="7"/>
    </row>
    <row r="812" spans="1:19" ht="13.5" x14ac:dyDescent="0.25">
      <c r="A812" t="s">
        <v>115</v>
      </c>
      <c r="B812" t="s">
        <v>116</v>
      </c>
      <c r="C812" t="str">
        <f t="shared" si="422"/>
        <v>Russell Carpenter</v>
      </c>
      <c r="D812" t="s">
        <v>328</v>
      </c>
      <c r="E812" s="3" t="str">
        <f t="shared" si="400"/>
        <v>Male</v>
      </c>
      <c r="F812" s="5">
        <v>21</v>
      </c>
      <c r="G812" t="s">
        <v>117</v>
      </c>
      <c r="H812" t="s">
        <v>118</v>
      </c>
      <c r="I812" t="s">
        <v>25</v>
      </c>
      <c r="J812" s="5">
        <v>0</v>
      </c>
      <c r="K812" s="3" t="str" cm="1">
        <f t="array" ref="K812">_xlfn.IFS(J812&lt;=5, "0-5", J812&lt;=10, "6-10", J812&lt;=15, "11-15", J812&lt;=20, "16-20", J812&gt;20, "21+")</f>
        <v>0-5</v>
      </c>
      <c r="L812">
        <v>20</v>
      </c>
      <c r="M812" s="4">
        <f t="shared" si="423"/>
        <v>20</v>
      </c>
      <c r="N812" s="4">
        <f t="shared" si="401"/>
        <v>20</v>
      </c>
      <c r="O812" s="5">
        <v>2.6</v>
      </c>
      <c r="P812" t="s">
        <v>81</v>
      </c>
      <c r="Q812" t="s">
        <v>54</v>
      </c>
      <c r="R812" s="1">
        <v>0.64</v>
      </c>
      <c r="S812" s="6">
        <f t="shared" ref="S812:S819" si="424">R812</f>
        <v>0.64</v>
      </c>
    </row>
    <row r="813" spans="1:19" ht="13.5" x14ac:dyDescent="0.25">
      <c r="A813" t="s">
        <v>1757</v>
      </c>
      <c r="B813" t="s">
        <v>1758</v>
      </c>
      <c r="C813" t="str">
        <f t="shared" si="422"/>
        <v>Richard Hill</v>
      </c>
      <c r="D813" t="s">
        <v>43</v>
      </c>
      <c r="E813" s="3" t="str">
        <f t="shared" si="400"/>
        <v>Male</v>
      </c>
      <c r="F813" s="5">
        <v>52</v>
      </c>
      <c r="G813" t="s">
        <v>95</v>
      </c>
      <c r="H813" t="s">
        <v>96</v>
      </c>
      <c r="I813" t="s">
        <v>291</v>
      </c>
      <c r="J813" s="5">
        <v>30</v>
      </c>
      <c r="K813" s="3" t="str" cm="1">
        <f t="array" ref="K813">_xlfn.IFS(J813&lt;=5, "0-5", J813&lt;=10, "6-10", J813&lt;=15, "11-15", J813&lt;=20, "16-20", J813&gt;20, "21+")</f>
        <v>21+</v>
      </c>
      <c r="L813">
        <v>30</v>
      </c>
      <c r="M813" s="4">
        <f t="shared" si="423"/>
        <v>30</v>
      </c>
      <c r="N813" s="4">
        <f t="shared" si="401"/>
        <v>30</v>
      </c>
      <c r="O813" s="5">
        <v>2</v>
      </c>
      <c r="P813">
        <v>1</v>
      </c>
      <c r="Q813" t="s">
        <v>28</v>
      </c>
      <c r="R813" s="1">
        <v>0.68</v>
      </c>
      <c r="S813" s="6">
        <f t="shared" si="424"/>
        <v>0.68</v>
      </c>
    </row>
    <row r="814" spans="1:19" ht="13.5" x14ac:dyDescent="0.25">
      <c r="A814" t="s">
        <v>1759</v>
      </c>
      <c r="B814" t="s">
        <v>1760</v>
      </c>
      <c r="C814" t="str">
        <f t="shared" si="422"/>
        <v>Lindsay Potts</v>
      </c>
      <c r="D814" t="s">
        <v>37</v>
      </c>
      <c r="E814" s="3" t="str">
        <f t="shared" si="400"/>
        <v>Female</v>
      </c>
      <c r="F814" s="5">
        <v>39</v>
      </c>
      <c r="G814" t="s">
        <v>95</v>
      </c>
      <c r="H814" t="s">
        <v>96</v>
      </c>
      <c r="I814" t="s">
        <v>287</v>
      </c>
      <c r="J814" s="5">
        <v>20</v>
      </c>
      <c r="K814" s="3" t="str" cm="1">
        <f t="array" ref="K814">_xlfn.IFS(J814&lt;=5, "0-5", J814&lt;=10, "6-10", J814&lt;=15, "11-15", J814&lt;=20, "16-20", J814&gt;20, "21+")</f>
        <v>16-20</v>
      </c>
      <c r="L814" s="2">
        <v>75</v>
      </c>
      <c r="M814" s="4" t="str">
        <f>SUBSTITUTE(L814, "$","")</f>
        <v>75</v>
      </c>
      <c r="N814" s="4">
        <f t="shared" si="401"/>
        <v>75</v>
      </c>
      <c r="O814" s="5">
        <v>2.7</v>
      </c>
      <c r="P814">
        <v>1</v>
      </c>
      <c r="Q814" t="s">
        <v>28</v>
      </c>
      <c r="R814" s="1">
        <v>0.67</v>
      </c>
      <c r="S814" s="6">
        <f t="shared" si="424"/>
        <v>0.67</v>
      </c>
    </row>
    <row r="815" spans="1:19" ht="13.5" x14ac:dyDescent="0.25">
      <c r="A815" t="s">
        <v>1761</v>
      </c>
      <c r="B815" t="s">
        <v>1762</v>
      </c>
      <c r="C815" t="str">
        <f t="shared" si="422"/>
        <v>Michelle Campbell</v>
      </c>
      <c r="D815" t="s">
        <v>37</v>
      </c>
      <c r="E815" s="3" t="str">
        <f t="shared" si="400"/>
        <v>Female</v>
      </c>
      <c r="F815" s="5">
        <v>31</v>
      </c>
      <c r="G815" t="s">
        <v>38</v>
      </c>
      <c r="H815" t="s">
        <v>39</v>
      </c>
      <c r="I815" t="s">
        <v>285</v>
      </c>
      <c r="J815" s="5">
        <v>0</v>
      </c>
      <c r="K815" s="3" t="str" cm="1">
        <f t="array" ref="K815">_xlfn.IFS(J815&lt;=5, "0-5", J815&lt;=10, "6-10", J815&lt;=15, "11-15", J815&lt;=20, "16-20", J815&gt;20, "21+")</f>
        <v>0-5</v>
      </c>
      <c r="L815">
        <v>30</v>
      </c>
      <c r="M815" s="4">
        <f>L815</f>
        <v>30</v>
      </c>
      <c r="N815" s="4">
        <f t="shared" si="401"/>
        <v>30</v>
      </c>
      <c r="O815" s="5">
        <v>2.2999999999999998</v>
      </c>
      <c r="P815" t="s">
        <v>81</v>
      </c>
      <c r="Q815" t="s">
        <v>54</v>
      </c>
      <c r="R815" s="1">
        <v>0.79</v>
      </c>
      <c r="S815" s="6">
        <f t="shared" si="424"/>
        <v>0.79</v>
      </c>
    </row>
    <row r="816" spans="1:19" ht="13.5" x14ac:dyDescent="0.25">
      <c r="A816" t="s">
        <v>1763</v>
      </c>
      <c r="B816" t="s">
        <v>1764</v>
      </c>
      <c r="C816" t="str">
        <f t="shared" si="422"/>
        <v>Alan Williams</v>
      </c>
      <c r="D816" t="s">
        <v>43</v>
      </c>
      <c r="E816" s="3" t="str">
        <f t="shared" si="400"/>
        <v>Male</v>
      </c>
      <c r="F816" s="5">
        <v>22</v>
      </c>
      <c r="G816" t="s">
        <v>62</v>
      </c>
      <c r="H816" t="s">
        <v>63</v>
      </c>
      <c r="I816" t="s">
        <v>286</v>
      </c>
      <c r="J816" s="5">
        <v>4</v>
      </c>
      <c r="K816" s="3" t="str" cm="1">
        <f t="array" ref="K816">_xlfn.IFS(J816&lt;=5, "0-5", J816&lt;=10, "6-10", J816&lt;=15, "11-15", J816&lt;=20, "16-20", J816&gt;20, "21+")</f>
        <v>0-5</v>
      </c>
      <c r="L816" s="2">
        <v>40</v>
      </c>
      <c r="M816" s="4" t="str">
        <f>SUBSTITUTE(L816, "$","")</f>
        <v>40</v>
      </c>
      <c r="N816" s="4">
        <f t="shared" si="401"/>
        <v>40</v>
      </c>
      <c r="O816" s="5">
        <v>3.8</v>
      </c>
      <c r="P816" t="b">
        <v>1</v>
      </c>
      <c r="Q816" t="s">
        <v>28</v>
      </c>
      <c r="R816" s="1">
        <v>1</v>
      </c>
      <c r="S816" s="6">
        <f t="shared" si="424"/>
        <v>1</v>
      </c>
    </row>
    <row r="817" spans="1:19" ht="13.5" x14ac:dyDescent="0.25">
      <c r="A817" t="s">
        <v>1765</v>
      </c>
      <c r="B817" t="s">
        <v>1766</v>
      </c>
      <c r="C817" t="str">
        <f t="shared" si="422"/>
        <v>Robin Hinton</v>
      </c>
      <c r="D817" t="s">
        <v>37</v>
      </c>
      <c r="E817" s="3" t="str">
        <f t="shared" si="400"/>
        <v>Female</v>
      </c>
      <c r="F817" s="5">
        <v>38</v>
      </c>
      <c r="G817" t="s">
        <v>152</v>
      </c>
      <c r="H817" t="s">
        <v>39</v>
      </c>
      <c r="I817" t="s">
        <v>286</v>
      </c>
      <c r="J817" s="5">
        <v>10</v>
      </c>
      <c r="K817" s="3" t="str" cm="1">
        <f t="array" ref="K817">_xlfn.IFS(J817&lt;=5, "0-5", J817&lt;=10, "6-10", J817&lt;=15, "11-15", J817&lt;=20, "16-20", J817&gt;20, "21+")</f>
        <v>6-10</v>
      </c>
      <c r="L817">
        <v>40</v>
      </c>
      <c r="M817" s="4">
        <f>L817</f>
        <v>40</v>
      </c>
      <c r="N817" s="4">
        <f t="shared" si="401"/>
        <v>40</v>
      </c>
      <c r="P817" t="s">
        <v>64</v>
      </c>
      <c r="Q817" t="s">
        <v>54</v>
      </c>
      <c r="R817" s="1">
        <v>0.66</v>
      </c>
      <c r="S817" s="6">
        <f t="shared" si="424"/>
        <v>0.66</v>
      </c>
    </row>
    <row r="818" spans="1:19" ht="13.5" x14ac:dyDescent="0.25">
      <c r="A818" t="s">
        <v>1767</v>
      </c>
      <c r="B818" t="s">
        <v>1768</v>
      </c>
      <c r="C818" t="str">
        <f t="shared" si="422"/>
        <v>Brian Holland</v>
      </c>
      <c r="D818" t="s">
        <v>32</v>
      </c>
      <c r="E818" s="3" t="str">
        <f t="shared" si="400"/>
        <v>Male</v>
      </c>
      <c r="F818" s="5">
        <v>44</v>
      </c>
      <c r="G818" t="s">
        <v>23</v>
      </c>
      <c r="H818" t="s">
        <v>24</v>
      </c>
      <c r="I818" t="s">
        <v>287</v>
      </c>
      <c r="J818" s="5">
        <v>24</v>
      </c>
      <c r="K818" s="3" t="str" cm="1">
        <f t="array" ref="K818">_xlfn.IFS(J818&lt;=5, "0-5", J818&lt;=10, "6-10", J818&lt;=15, "11-15", J818&lt;=20, "16-20", J818&gt;20, "21+")</f>
        <v>21+</v>
      </c>
      <c r="L818" t="s">
        <v>92</v>
      </c>
      <c r="M818" s="4" t="str">
        <f t="shared" ref="M818" si="425">_xlfn.TEXTAFTER(L818, " ")</f>
        <v>75</v>
      </c>
      <c r="N818" s="4">
        <f t="shared" si="401"/>
        <v>75</v>
      </c>
      <c r="O818" s="5">
        <v>4.5999999999999996</v>
      </c>
      <c r="P818" t="s">
        <v>81</v>
      </c>
      <c r="Q818" t="s">
        <v>54</v>
      </c>
      <c r="R818" s="1">
        <v>0.97</v>
      </c>
      <c r="S818" s="6">
        <f t="shared" si="424"/>
        <v>0.97</v>
      </c>
    </row>
    <row r="819" spans="1:19" ht="13.5" x14ac:dyDescent="0.25">
      <c r="A819" t="s">
        <v>1769</v>
      </c>
      <c r="B819" t="s">
        <v>1770</v>
      </c>
      <c r="C819" t="str">
        <f t="shared" si="422"/>
        <v>Adam Stone</v>
      </c>
      <c r="D819" t="s">
        <v>328</v>
      </c>
      <c r="E819" s="3" t="str">
        <f t="shared" si="400"/>
        <v>Male</v>
      </c>
      <c r="F819" s="5">
        <v>53</v>
      </c>
      <c r="G819" t="s">
        <v>104</v>
      </c>
      <c r="H819" t="s">
        <v>105</v>
      </c>
      <c r="I819" t="s">
        <v>284</v>
      </c>
      <c r="J819" s="5">
        <v>21</v>
      </c>
      <c r="K819" s="3" t="str" cm="1">
        <f t="array" ref="K819">_xlfn.IFS(J819&lt;=5, "0-5", J819&lt;=10, "6-10", J819&lt;=15, "11-15", J819&lt;=20, "16-20", J819&gt;20, "21+")</f>
        <v>21+</v>
      </c>
      <c r="L819">
        <v>100</v>
      </c>
      <c r="M819" s="4">
        <f>L819</f>
        <v>100</v>
      </c>
      <c r="N819" s="4">
        <f t="shared" si="401"/>
        <v>100</v>
      </c>
      <c r="O819" s="5">
        <v>3.4</v>
      </c>
      <c r="P819">
        <v>0</v>
      </c>
      <c r="Q819" t="s">
        <v>54</v>
      </c>
      <c r="R819" s="1">
        <v>0.62</v>
      </c>
      <c r="S819" s="6">
        <f t="shared" si="424"/>
        <v>0.62</v>
      </c>
    </row>
    <row r="820" spans="1:19" ht="13.5" x14ac:dyDescent="0.25">
      <c r="A820" t="s">
        <v>1771</v>
      </c>
      <c r="B820" t="s">
        <v>1772</v>
      </c>
      <c r="C820" t="str">
        <f t="shared" si="422"/>
        <v>Curtis Lambert</v>
      </c>
      <c r="D820" t="s">
        <v>32</v>
      </c>
      <c r="E820" s="3" t="str">
        <f t="shared" si="400"/>
        <v>Male</v>
      </c>
      <c r="F820" s="5">
        <v>22</v>
      </c>
      <c r="G820" t="s">
        <v>165</v>
      </c>
      <c r="H820" t="s">
        <v>166</v>
      </c>
      <c r="I820" t="s">
        <v>291</v>
      </c>
      <c r="J820" s="5">
        <v>2</v>
      </c>
      <c r="K820" s="3" t="str" cm="1">
        <f t="array" ref="K820">_xlfn.IFS(J820&lt;=5, "0-5", J820&lt;=10, "6-10", J820&lt;=15, "11-15", J820&lt;=20, "16-20", J820&gt;20, "21+")</f>
        <v>0-5</v>
      </c>
      <c r="L820" t="s">
        <v>78</v>
      </c>
      <c r="M820" s="4" t="str">
        <f t="shared" ref="M820" si="426">_xlfn.TEXTAFTER(L820, " ")</f>
        <v>20</v>
      </c>
      <c r="N820" s="4">
        <f t="shared" si="401"/>
        <v>20</v>
      </c>
      <c r="P820" t="s">
        <v>81</v>
      </c>
      <c r="Q820" t="s">
        <v>54</v>
      </c>
      <c r="S820" s="7"/>
    </row>
    <row r="821" spans="1:19" ht="13.5" x14ac:dyDescent="0.25">
      <c r="A821" t="s">
        <v>1773</v>
      </c>
      <c r="B821" t="s">
        <v>1774</v>
      </c>
      <c r="C821" t="str">
        <f t="shared" si="422"/>
        <v>Alexandra Sims</v>
      </c>
      <c r="D821" t="s">
        <v>22</v>
      </c>
      <c r="E821" s="3" t="str">
        <f t="shared" si="400"/>
        <v>Female</v>
      </c>
      <c r="F821" s="5">
        <v>40</v>
      </c>
      <c r="G821" t="s">
        <v>146</v>
      </c>
      <c r="H821" t="s">
        <v>147</v>
      </c>
      <c r="I821" t="s">
        <v>292</v>
      </c>
      <c r="J821" s="5">
        <v>14</v>
      </c>
      <c r="K821" s="3" t="str" cm="1">
        <f t="array" ref="K821">_xlfn.IFS(J821&lt;=5, "0-5", J821&lt;=10, "6-10", J821&lt;=15, "11-15", J821&lt;=20, "16-20", J821&gt;20, "21+")</f>
        <v>11-15</v>
      </c>
      <c r="L821">
        <v>75</v>
      </c>
      <c r="M821" s="4">
        <f t="shared" ref="M821:M822" si="427">L821</f>
        <v>75</v>
      </c>
      <c r="N821" s="4">
        <f t="shared" si="401"/>
        <v>75</v>
      </c>
      <c r="O821" s="5">
        <v>0</v>
      </c>
      <c r="P821">
        <v>1</v>
      </c>
      <c r="Q821" t="s">
        <v>28</v>
      </c>
      <c r="R821" s="1">
        <v>0.79</v>
      </c>
      <c r="S821" s="6">
        <f t="shared" ref="S821:S824" si="428">R821</f>
        <v>0.79</v>
      </c>
    </row>
    <row r="822" spans="1:19" ht="13.5" x14ac:dyDescent="0.25">
      <c r="A822" t="s">
        <v>1775</v>
      </c>
      <c r="B822" t="s">
        <v>1776</v>
      </c>
      <c r="C822" t="str">
        <f t="shared" si="422"/>
        <v>Brenda Spencer</v>
      </c>
      <c r="D822" t="s">
        <v>304</v>
      </c>
      <c r="E822" s="3" t="str">
        <f t="shared" si="400"/>
        <v>Female</v>
      </c>
      <c r="F822" s="5">
        <v>49</v>
      </c>
      <c r="G822" t="s">
        <v>165</v>
      </c>
      <c r="H822" t="s">
        <v>166</v>
      </c>
      <c r="I822" t="s">
        <v>285</v>
      </c>
      <c r="J822" s="5">
        <v>15</v>
      </c>
      <c r="K822" s="3" t="str" cm="1">
        <f t="array" ref="K822">_xlfn.IFS(J822&lt;=5, "0-5", J822&lt;=10, "6-10", J822&lt;=15, "11-15", J822&lt;=20, "16-20", J822&gt;20, "21+")</f>
        <v>11-15</v>
      </c>
      <c r="L822">
        <v>40</v>
      </c>
      <c r="M822" s="4">
        <f t="shared" si="427"/>
        <v>40</v>
      </c>
      <c r="N822" s="4">
        <f t="shared" si="401"/>
        <v>40</v>
      </c>
      <c r="O822" s="5">
        <v>3.9</v>
      </c>
      <c r="P822" t="b">
        <v>0</v>
      </c>
      <c r="Q822" t="s">
        <v>54</v>
      </c>
      <c r="R822" s="1">
        <v>0.86</v>
      </c>
      <c r="S822" s="6">
        <f t="shared" si="428"/>
        <v>0.86</v>
      </c>
    </row>
    <row r="823" spans="1:19" ht="13.5" x14ac:dyDescent="0.25">
      <c r="A823" t="s">
        <v>1777</v>
      </c>
      <c r="B823" t="s">
        <v>1778</v>
      </c>
      <c r="C823" t="str">
        <f t="shared" si="422"/>
        <v>Joshua Bush</v>
      </c>
      <c r="D823" t="s">
        <v>311</v>
      </c>
      <c r="E823" s="3" t="str">
        <f t="shared" si="400"/>
        <v>Male</v>
      </c>
      <c r="F823" s="5">
        <v>30</v>
      </c>
      <c r="G823" t="s">
        <v>38</v>
      </c>
      <c r="H823" t="s">
        <v>39</v>
      </c>
      <c r="I823" t="s">
        <v>286</v>
      </c>
      <c r="J823" s="5">
        <v>11</v>
      </c>
      <c r="K823" s="3" t="str" cm="1">
        <f t="array" ref="K823">_xlfn.IFS(J823&lt;=5, "0-5", J823&lt;=10, "6-10", J823&lt;=15, "11-15", J823&lt;=20, "16-20", J823&gt;20, "21+")</f>
        <v>11-15</v>
      </c>
      <c r="L823" s="2">
        <v>30</v>
      </c>
      <c r="M823" s="4" t="str">
        <f>SUBSTITUTE(L823, "$","")</f>
        <v>30</v>
      </c>
      <c r="N823" s="4">
        <f t="shared" si="401"/>
        <v>30</v>
      </c>
      <c r="O823" s="5">
        <v>4.2</v>
      </c>
      <c r="P823">
        <v>0</v>
      </c>
      <c r="Q823" t="s">
        <v>54</v>
      </c>
      <c r="R823" s="1">
        <v>0.65</v>
      </c>
      <c r="S823" s="6">
        <f t="shared" si="428"/>
        <v>0.65</v>
      </c>
    </row>
    <row r="824" spans="1:19" ht="13.5" x14ac:dyDescent="0.25">
      <c r="A824" t="s">
        <v>113</v>
      </c>
      <c r="B824" t="s">
        <v>114</v>
      </c>
      <c r="C824" t="str">
        <f t="shared" si="422"/>
        <v>Erin Martin</v>
      </c>
      <c r="D824" t="s">
        <v>304</v>
      </c>
      <c r="E824" s="3" t="str">
        <f t="shared" si="400"/>
        <v>Female</v>
      </c>
      <c r="F824" s="5">
        <v>37</v>
      </c>
      <c r="G824" t="s">
        <v>88</v>
      </c>
      <c r="H824" t="s">
        <v>89</v>
      </c>
      <c r="I824" t="s">
        <v>25</v>
      </c>
      <c r="J824" s="5">
        <v>6</v>
      </c>
      <c r="K824" s="3" t="str" cm="1">
        <f t="array" ref="K824">_xlfn.IFS(J824&lt;=5, "0-5", J824&lt;=10, "6-10", J824&lt;=15, "11-15", J824&lt;=20, "16-20", J824&gt;20, "21+")</f>
        <v>6-10</v>
      </c>
      <c r="L824">
        <v>20</v>
      </c>
      <c r="M824" s="4">
        <f t="shared" ref="M824:M825" si="429">L824</f>
        <v>20</v>
      </c>
      <c r="N824" s="4">
        <f t="shared" si="401"/>
        <v>20</v>
      </c>
      <c r="R824" s="1">
        <v>0.99</v>
      </c>
      <c r="S824" s="6">
        <f t="shared" si="428"/>
        <v>0.99</v>
      </c>
    </row>
    <row r="825" spans="1:19" ht="13.5" x14ac:dyDescent="0.25">
      <c r="A825" t="s">
        <v>1779</v>
      </c>
      <c r="B825" t="s">
        <v>1780</v>
      </c>
      <c r="C825" t="str">
        <f t="shared" si="422"/>
        <v>Alexander Hogan</v>
      </c>
      <c r="D825" t="s">
        <v>31</v>
      </c>
      <c r="E825" s="3" t="str">
        <f t="shared" si="400"/>
        <v>Male</v>
      </c>
      <c r="F825" s="5">
        <v>21</v>
      </c>
      <c r="G825" t="s">
        <v>117</v>
      </c>
      <c r="H825" t="s">
        <v>118</v>
      </c>
      <c r="I825" t="s">
        <v>287</v>
      </c>
      <c r="J825" s="5">
        <v>2</v>
      </c>
      <c r="K825" s="3" t="str" cm="1">
        <f t="array" ref="K825">_xlfn.IFS(J825&lt;=5, "0-5", J825&lt;=10, "6-10", J825&lt;=15, "11-15", J825&lt;=20, "16-20", J825&gt;20, "21+")</f>
        <v>0-5</v>
      </c>
      <c r="L825">
        <v>100</v>
      </c>
      <c r="M825" s="4">
        <f t="shared" si="429"/>
        <v>100</v>
      </c>
      <c r="N825" s="4">
        <f t="shared" si="401"/>
        <v>100</v>
      </c>
      <c r="O825" s="5">
        <v>3.6</v>
      </c>
      <c r="P825" t="b">
        <v>0</v>
      </c>
      <c r="Q825" t="s">
        <v>54</v>
      </c>
      <c r="R825">
        <v>85</v>
      </c>
      <c r="S825" s="6">
        <f>R825/100</f>
        <v>0.85</v>
      </c>
    </row>
    <row r="826" spans="1:19" ht="13.5" x14ac:dyDescent="0.25">
      <c r="A826" t="s">
        <v>110</v>
      </c>
      <c r="B826" t="s">
        <v>111</v>
      </c>
      <c r="C826" t="str">
        <f t="shared" si="422"/>
        <v>William Harris</v>
      </c>
      <c r="D826" t="s">
        <v>32</v>
      </c>
      <c r="E826" s="3" t="str">
        <f t="shared" si="400"/>
        <v>Male</v>
      </c>
      <c r="F826" s="5">
        <v>20</v>
      </c>
      <c r="G826" t="s">
        <v>62</v>
      </c>
      <c r="H826" t="s">
        <v>63</v>
      </c>
      <c r="I826" t="s">
        <v>25</v>
      </c>
      <c r="J826" s="5">
        <v>1</v>
      </c>
      <c r="K826" s="3" t="str" cm="1">
        <f t="array" ref="K826">_xlfn.IFS(J826&lt;=5, "0-5", J826&lt;=10, "6-10", J826&lt;=15, "11-15", J826&lt;=20, "16-20", J826&gt;20, "21+")</f>
        <v>0-5</v>
      </c>
      <c r="L826" t="s">
        <v>112</v>
      </c>
      <c r="M826" s="4" t="str">
        <f t="shared" ref="M826" si="430">_xlfn.TEXTAFTER(L826, " ")</f>
        <v>50</v>
      </c>
      <c r="N826" s="4">
        <f t="shared" si="401"/>
        <v>50</v>
      </c>
      <c r="P826" t="s">
        <v>27</v>
      </c>
      <c r="Q826" t="s">
        <v>28</v>
      </c>
      <c r="R826" s="1">
        <v>0.81</v>
      </c>
      <c r="S826" s="6">
        <f t="shared" ref="S826:S829" si="431">R826</f>
        <v>0.81</v>
      </c>
    </row>
    <row r="827" spans="1:19" ht="13.5" x14ac:dyDescent="0.25">
      <c r="A827" t="s">
        <v>1781</v>
      </c>
      <c r="B827" t="s">
        <v>1782</v>
      </c>
      <c r="C827" t="str">
        <f t="shared" si="422"/>
        <v>Michael Mcmahon</v>
      </c>
      <c r="D827" t="s">
        <v>31</v>
      </c>
      <c r="E827" s="3" t="str">
        <f t="shared" si="400"/>
        <v>Male</v>
      </c>
      <c r="F827" s="5">
        <v>20</v>
      </c>
      <c r="G827" t="s">
        <v>165</v>
      </c>
      <c r="H827" t="s">
        <v>166</v>
      </c>
      <c r="I827" t="s">
        <v>291</v>
      </c>
      <c r="J827" s="5">
        <v>2</v>
      </c>
      <c r="K827" s="3" t="str" cm="1">
        <f t="array" ref="K827">_xlfn.IFS(J827&lt;=5, "0-5", J827&lt;=10, "6-10", J827&lt;=15, "11-15", J827&lt;=20, "16-20", J827&gt;20, "21+")</f>
        <v>0-5</v>
      </c>
      <c r="L827" s="2">
        <v>40</v>
      </c>
      <c r="M827" s="4" t="str">
        <f>SUBSTITUTE(L827, "$","")</f>
        <v>40</v>
      </c>
      <c r="N827" s="4">
        <f t="shared" si="401"/>
        <v>40</v>
      </c>
      <c r="O827" s="5">
        <v>2.1</v>
      </c>
      <c r="P827" t="s">
        <v>64</v>
      </c>
      <c r="Q827" t="s">
        <v>54</v>
      </c>
      <c r="R827" s="1">
        <v>0.64</v>
      </c>
      <c r="S827" s="6">
        <f t="shared" si="431"/>
        <v>0.64</v>
      </c>
    </row>
    <row r="828" spans="1:19" ht="13.5" x14ac:dyDescent="0.25">
      <c r="A828" t="s">
        <v>1783</v>
      </c>
      <c r="B828" t="s">
        <v>1784</v>
      </c>
      <c r="C828" t="str">
        <f t="shared" si="422"/>
        <v>Michael Watson</v>
      </c>
      <c r="D828" t="s">
        <v>311</v>
      </c>
      <c r="E828" s="3" t="str">
        <f t="shared" si="400"/>
        <v>Male</v>
      </c>
      <c r="F828" s="5">
        <v>20</v>
      </c>
      <c r="G828" t="s">
        <v>23</v>
      </c>
      <c r="H828" t="s">
        <v>24</v>
      </c>
      <c r="I828" t="s">
        <v>284</v>
      </c>
      <c r="J828" s="5">
        <v>2</v>
      </c>
      <c r="K828" s="3" t="str" cm="1">
        <f t="array" ref="K828">_xlfn.IFS(J828&lt;=5, "0-5", J828&lt;=10, "6-10", J828&lt;=15, "11-15", J828&lt;=20, "16-20", J828&gt;20, "21+")</f>
        <v>0-5</v>
      </c>
      <c r="L828">
        <v>20</v>
      </c>
      <c r="M828" s="4">
        <f t="shared" ref="M828:M829" si="432">L828</f>
        <v>20</v>
      </c>
      <c r="N828" s="4">
        <f t="shared" si="401"/>
        <v>20</v>
      </c>
      <c r="O828" s="5">
        <v>3.9</v>
      </c>
      <c r="P828" t="b">
        <v>0</v>
      </c>
      <c r="Q828" t="s">
        <v>54</v>
      </c>
      <c r="R828" s="1">
        <v>0.84</v>
      </c>
      <c r="S828" s="6">
        <f t="shared" si="431"/>
        <v>0.84</v>
      </c>
    </row>
    <row r="829" spans="1:19" ht="13.5" x14ac:dyDescent="0.25">
      <c r="A829" t="s">
        <v>1785</v>
      </c>
      <c r="B829" t="s">
        <v>1786</v>
      </c>
      <c r="C829" t="str">
        <f t="shared" si="422"/>
        <v>Lori Perez</v>
      </c>
      <c r="D829" t="s">
        <v>37</v>
      </c>
      <c r="E829" s="3" t="str">
        <f t="shared" si="400"/>
        <v>Female</v>
      </c>
      <c r="F829" s="5">
        <v>26</v>
      </c>
      <c r="G829" t="s">
        <v>95</v>
      </c>
      <c r="H829" t="s">
        <v>96</v>
      </c>
      <c r="I829" t="s">
        <v>284</v>
      </c>
      <c r="J829" s="5">
        <v>2</v>
      </c>
      <c r="K829" s="3" t="str" cm="1">
        <f t="array" ref="K829">_xlfn.IFS(J829&lt;=5, "0-5", J829&lt;=10, "6-10", J829&lt;=15, "11-15", J829&lt;=20, "16-20", J829&gt;20, "21+")</f>
        <v>0-5</v>
      </c>
      <c r="L829">
        <v>40</v>
      </c>
      <c r="M829" s="4">
        <f t="shared" si="432"/>
        <v>40</v>
      </c>
      <c r="N829" s="4">
        <f t="shared" si="401"/>
        <v>40</v>
      </c>
      <c r="O829" s="5">
        <v>0</v>
      </c>
      <c r="R829" s="1">
        <v>0.66</v>
      </c>
      <c r="S829" s="6">
        <f t="shared" si="431"/>
        <v>0.66</v>
      </c>
    </row>
    <row r="830" spans="1:19" ht="13.5" x14ac:dyDescent="0.25">
      <c r="A830" t="s">
        <v>1787</v>
      </c>
      <c r="B830" t="s">
        <v>1788</v>
      </c>
      <c r="C830" t="str">
        <f t="shared" si="422"/>
        <v>Lindsay Le</v>
      </c>
      <c r="D830" t="s">
        <v>304</v>
      </c>
      <c r="E830" s="3" t="str">
        <f t="shared" si="400"/>
        <v>Female</v>
      </c>
      <c r="F830" s="5">
        <v>50</v>
      </c>
      <c r="G830" t="s">
        <v>62</v>
      </c>
      <c r="H830" t="s">
        <v>63</v>
      </c>
      <c r="I830" t="s">
        <v>290</v>
      </c>
      <c r="J830" s="5">
        <v>12</v>
      </c>
      <c r="K830" s="3" t="str" cm="1">
        <f t="array" ref="K830">_xlfn.IFS(J830&lt;=5, "0-5", J830&lt;=10, "6-10", J830&lt;=15, "11-15", J830&lt;=20, "16-20", J830&gt;20, "21+")</f>
        <v>11-15</v>
      </c>
      <c r="L830" s="2">
        <v>75</v>
      </c>
      <c r="M830" s="4" t="str">
        <f>SUBSTITUTE(L830, "$","")</f>
        <v>75</v>
      </c>
      <c r="N830" s="4">
        <f t="shared" si="401"/>
        <v>75</v>
      </c>
      <c r="O830" s="5">
        <v>0</v>
      </c>
      <c r="P830" t="b">
        <v>0</v>
      </c>
      <c r="Q830" t="s">
        <v>54</v>
      </c>
      <c r="R830">
        <v>75</v>
      </c>
      <c r="S830" s="6">
        <f>R830/100</f>
        <v>0.75</v>
      </c>
    </row>
    <row r="831" spans="1:19" ht="13.5" x14ac:dyDescent="0.25">
      <c r="A831" t="s">
        <v>108</v>
      </c>
      <c r="B831" t="s">
        <v>109</v>
      </c>
      <c r="C831" t="str">
        <f t="shared" si="422"/>
        <v>Scott Long</v>
      </c>
      <c r="D831" t="s">
        <v>32</v>
      </c>
      <c r="E831" s="3" t="str">
        <f t="shared" si="400"/>
        <v>Male</v>
      </c>
      <c r="F831" s="5">
        <v>50</v>
      </c>
      <c r="G831" t="s">
        <v>84</v>
      </c>
      <c r="H831" t="s">
        <v>24</v>
      </c>
      <c r="I831" t="s">
        <v>25</v>
      </c>
      <c r="J831" s="5">
        <v>28</v>
      </c>
      <c r="K831" s="3" t="str" cm="1">
        <f t="array" ref="K831">_xlfn.IFS(J831&lt;=5, "0-5", J831&lt;=10, "6-10", J831&lt;=15, "11-15", J831&lt;=20, "16-20", J831&gt;20, "21+")</f>
        <v>21+</v>
      </c>
      <c r="L831">
        <v>30</v>
      </c>
      <c r="M831" s="4">
        <f t="shared" ref="M831:M833" si="433">L831</f>
        <v>30</v>
      </c>
      <c r="N831" s="4">
        <f t="shared" si="401"/>
        <v>30</v>
      </c>
      <c r="O831" s="5">
        <v>1.8</v>
      </c>
      <c r="S831" s="7"/>
    </row>
    <row r="832" spans="1:19" ht="13.5" x14ac:dyDescent="0.25">
      <c r="A832" t="s">
        <v>106</v>
      </c>
      <c r="B832" t="s">
        <v>107</v>
      </c>
      <c r="C832" t="str">
        <f t="shared" si="422"/>
        <v>Diana Ferguson</v>
      </c>
      <c r="D832" t="s">
        <v>22</v>
      </c>
      <c r="E832" s="3" t="str">
        <f t="shared" si="400"/>
        <v>Female</v>
      </c>
      <c r="F832" s="5">
        <v>54</v>
      </c>
      <c r="G832" t="s">
        <v>104</v>
      </c>
      <c r="H832" t="s">
        <v>105</v>
      </c>
      <c r="I832" t="s">
        <v>25</v>
      </c>
      <c r="J832" s="5">
        <v>4</v>
      </c>
      <c r="K832" s="3" t="str" cm="1">
        <f t="array" ref="K832">_xlfn.IFS(J832&lt;=5, "0-5", J832&lt;=10, "6-10", J832&lt;=15, "11-15", J832&lt;=20, "16-20", J832&gt;20, "21+")</f>
        <v>0-5</v>
      </c>
      <c r="L832">
        <v>20</v>
      </c>
      <c r="M832" s="4">
        <f t="shared" si="433"/>
        <v>20</v>
      </c>
      <c r="N832" s="4">
        <f t="shared" si="401"/>
        <v>20</v>
      </c>
      <c r="O832" s="5">
        <v>1.1000000000000001</v>
      </c>
      <c r="P832">
        <v>1</v>
      </c>
      <c r="Q832" t="s">
        <v>28</v>
      </c>
      <c r="R832" s="1">
        <v>0.63</v>
      </c>
      <c r="S832" s="6">
        <f t="shared" ref="S832:S834" si="434">R832</f>
        <v>0.63</v>
      </c>
    </row>
    <row r="833" spans="1:19" ht="13.5" x14ac:dyDescent="0.25">
      <c r="A833" t="s">
        <v>1789</v>
      </c>
      <c r="B833" t="s">
        <v>1790</v>
      </c>
      <c r="C833" t="str">
        <f t="shared" si="422"/>
        <v>Joseph Miller</v>
      </c>
      <c r="D833" t="s">
        <v>31</v>
      </c>
      <c r="E833" s="3" t="str">
        <f t="shared" si="400"/>
        <v>Male</v>
      </c>
      <c r="F833" s="5">
        <v>54</v>
      </c>
      <c r="G833" t="s">
        <v>84</v>
      </c>
      <c r="H833" t="s">
        <v>24</v>
      </c>
      <c r="I833" t="s">
        <v>292</v>
      </c>
      <c r="J833" s="5">
        <v>3</v>
      </c>
      <c r="K833" s="3" t="str" cm="1">
        <f t="array" ref="K833">_xlfn.IFS(J833&lt;=5, "0-5", J833&lt;=10, "6-10", J833&lt;=15, "11-15", J833&lt;=20, "16-20", J833&gt;20, "21+")</f>
        <v>0-5</v>
      </c>
      <c r="L833">
        <v>20</v>
      </c>
      <c r="M833" s="4">
        <f t="shared" si="433"/>
        <v>20</v>
      </c>
      <c r="N833" s="4">
        <f t="shared" si="401"/>
        <v>20</v>
      </c>
      <c r="O833" s="5">
        <v>1.6</v>
      </c>
      <c r="P833" t="s">
        <v>57</v>
      </c>
      <c r="Q833" t="s">
        <v>28</v>
      </c>
      <c r="R833" s="1">
        <v>0.7</v>
      </c>
      <c r="S833" s="6">
        <f t="shared" si="434"/>
        <v>0.7</v>
      </c>
    </row>
    <row r="834" spans="1:19" ht="13.5" x14ac:dyDescent="0.25">
      <c r="A834" t="s">
        <v>1791</v>
      </c>
      <c r="B834" t="s">
        <v>1792</v>
      </c>
      <c r="C834" t="str">
        <f t="shared" si="422"/>
        <v>Julia Reid</v>
      </c>
      <c r="D834" t="s">
        <v>22</v>
      </c>
      <c r="E834" s="3" t="str">
        <f t="shared" si="400"/>
        <v>Female</v>
      </c>
      <c r="F834" s="5">
        <v>34</v>
      </c>
      <c r="G834" t="s">
        <v>117</v>
      </c>
      <c r="H834" t="s">
        <v>118</v>
      </c>
      <c r="I834" t="s">
        <v>284</v>
      </c>
      <c r="J834" s="5">
        <v>4</v>
      </c>
      <c r="K834" s="3" t="str" cm="1">
        <f t="array" ref="K834">_xlfn.IFS(J834&lt;=5, "0-5", J834&lt;=10, "6-10", J834&lt;=15, "11-15", J834&lt;=20, "16-20", J834&gt;20, "21+")</f>
        <v>0-5</v>
      </c>
      <c r="L834" s="2">
        <v>30</v>
      </c>
      <c r="M834" s="4" t="str">
        <f>SUBSTITUTE(L834, "$","")</f>
        <v>30</v>
      </c>
      <c r="N834" s="4">
        <f t="shared" si="401"/>
        <v>30</v>
      </c>
      <c r="O834" s="5">
        <v>3.1</v>
      </c>
      <c r="R834" s="1">
        <v>0.9</v>
      </c>
      <c r="S834" s="6">
        <f t="shared" si="434"/>
        <v>0.9</v>
      </c>
    </row>
    <row r="835" spans="1:19" ht="13.5" x14ac:dyDescent="0.25">
      <c r="A835" t="s">
        <v>1793</v>
      </c>
      <c r="B835" t="s">
        <v>1794</v>
      </c>
      <c r="C835" t="str">
        <f t="shared" si="422"/>
        <v>Samantha Matthews</v>
      </c>
      <c r="D835" t="s">
        <v>22</v>
      </c>
      <c r="E835" s="3" t="str">
        <f t="shared" ref="E835:E898" si="435">IF(LOWER(LEFT(D835,1)) = "f", "Female", "Male")</f>
        <v>Female</v>
      </c>
      <c r="F835" s="5">
        <v>20</v>
      </c>
      <c r="G835" t="s">
        <v>253</v>
      </c>
      <c r="H835" t="s">
        <v>254</v>
      </c>
      <c r="I835" t="s">
        <v>283</v>
      </c>
      <c r="J835" s="5">
        <v>1</v>
      </c>
      <c r="K835" s="3" t="str" cm="1">
        <f t="array" ref="K835">_xlfn.IFS(J835&lt;=5, "0-5", J835&lt;=10, "6-10", J835&lt;=15, "11-15", J835&lt;=20, "16-20", J835&gt;20, "21+")</f>
        <v>0-5</v>
      </c>
      <c r="L835">
        <v>50</v>
      </c>
      <c r="M835" s="4">
        <f t="shared" ref="M835:M836" si="436">L835</f>
        <v>50</v>
      </c>
      <c r="N835" s="4">
        <f t="shared" ref="N835:N898" si="437">IF(M835="","NA",ROUND(M835,0))</f>
        <v>50</v>
      </c>
      <c r="O835" s="5">
        <v>3.4</v>
      </c>
      <c r="P835">
        <v>1</v>
      </c>
      <c r="Q835" t="s">
        <v>28</v>
      </c>
      <c r="R835">
        <v>79</v>
      </c>
      <c r="S835" s="6">
        <f>R835/100</f>
        <v>0.79</v>
      </c>
    </row>
    <row r="836" spans="1:19" ht="13.5" x14ac:dyDescent="0.25">
      <c r="A836" t="s">
        <v>100</v>
      </c>
      <c r="B836" t="s">
        <v>101</v>
      </c>
      <c r="C836" t="str">
        <f t="shared" si="422"/>
        <v>Brian Bailey</v>
      </c>
      <c r="D836" t="s">
        <v>31</v>
      </c>
      <c r="E836" s="3" t="str">
        <f t="shared" si="435"/>
        <v>Male</v>
      </c>
      <c r="F836" s="5">
        <v>29</v>
      </c>
      <c r="G836" t="s">
        <v>33</v>
      </c>
      <c r="H836" t="s">
        <v>34</v>
      </c>
      <c r="I836" t="s">
        <v>25</v>
      </c>
      <c r="J836" s="5">
        <v>8</v>
      </c>
      <c r="K836" s="3" t="str" cm="1">
        <f t="array" ref="K836">_xlfn.IFS(J836&lt;=5, "0-5", J836&lt;=10, "6-10", J836&lt;=15, "11-15", J836&lt;=20, "16-20", J836&gt;20, "21+")</f>
        <v>6-10</v>
      </c>
      <c r="L836">
        <v>40</v>
      </c>
      <c r="M836" s="4">
        <f t="shared" si="436"/>
        <v>40</v>
      </c>
      <c r="N836" s="4">
        <f t="shared" si="437"/>
        <v>40</v>
      </c>
      <c r="O836" s="5">
        <v>3.1</v>
      </c>
      <c r="P836" t="s">
        <v>64</v>
      </c>
      <c r="Q836" t="s">
        <v>54</v>
      </c>
      <c r="R836" s="1">
        <v>0.6</v>
      </c>
      <c r="S836" s="6">
        <f>R836</f>
        <v>0.6</v>
      </c>
    </row>
    <row r="837" spans="1:19" ht="13.5" x14ac:dyDescent="0.25">
      <c r="A837" t="s">
        <v>1795</v>
      </c>
      <c r="B837" t="s">
        <v>1796</v>
      </c>
      <c r="C837" t="str">
        <f t="shared" si="422"/>
        <v>Toni Hinton</v>
      </c>
      <c r="D837" t="s">
        <v>304</v>
      </c>
      <c r="E837" s="3" t="str">
        <f t="shared" si="435"/>
        <v>Female</v>
      </c>
      <c r="F837" s="5">
        <v>57</v>
      </c>
      <c r="G837" t="s">
        <v>152</v>
      </c>
      <c r="H837" t="s">
        <v>39</v>
      </c>
      <c r="I837" t="s">
        <v>283</v>
      </c>
      <c r="J837" s="5">
        <v>11</v>
      </c>
      <c r="K837" s="3" t="str" cm="1">
        <f t="array" ref="K837">_xlfn.IFS(J837&lt;=5, "0-5", J837&lt;=10, "6-10", J837&lt;=15, "11-15", J837&lt;=20, "16-20", J837&gt;20, "21+")</f>
        <v>11-15</v>
      </c>
      <c r="L837" t="s">
        <v>92</v>
      </c>
      <c r="M837" s="4" t="str">
        <f t="shared" ref="M837:M838" si="438">_xlfn.TEXTAFTER(L837, " ")</f>
        <v>75</v>
      </c>
      <c r="N837" s="4">
        <f t="shared" si="437"/>
        <v>75</v>
      </c>
      <c r="O837" s="5">
        <v>2.2999999999999998</v>
      </c>
      <c r="P837">
        <v>0</v>
      </c>
      <c r="Q837" t="s">
        <v>54</v>
      </c>
      <c r="S837" s="7"/>
    </row>
    <row r="838" spans="1:19" ht="13.5" x14ac:dyDescent="0.25">
      <c r="A838" t="s">
        <v>97</v>
      </c>
      <c r="B838" t="s">
        <v>98</v>
      </c>
      <c r="C838" t="str">
        <f t="shared" si="422"/>
        <v>Robin Ortiz</v>
      </c>
      <c r="D838" t="s">
        <v>301</v>
      </c>
      <c r="E838" s="3" t="str">
        <f t="shared" si="435"/>
        <v>Female</v>
      </c>
      <c r="F838" s="5">
        <v>36</v>
      </c>
      <c r="G838" t="s">
        <v>52</v>
      </c>
      <c r="H838" t="s">
        <v>53</v>
      </c>
      <c r="I838" t="s">
        <v>25</v>
      </c>
      <c r="J838" s="5">
        <v>8</v>
      </c>
      <c r="K838" s="3" t="str" cm="1">
        <f t="array" ref="K838">_xlfn.IFS(J838&lt;=5, "0-5", J838&lt;=10, "6-10", J838&lt;=15, "11-15", J838&lt;=20, "16-20", J838&gt;20, "21+")</f>
        <v>6-10</v>
      </c>
      <c r="L838" t="s">
        <v>99</v>
      </c>
      <c r="M838" s="4" t="str">
        <f t="shared" si="438"/>
        <v>40</v>
      </c>
      <c r="N838" s="4">
        <f t="shared" si="437"/>
        <v>40</v>
      </c>
      <c r="P838" t="s">
        <v>64</v>
      </c>
      <c r="Q838" t="s">
        <v>54</v>
      </c>
      <c r="R838" s="1">
        <v>0.8</v>
      </c>
      <c r="S838" s="6">
        <f>R838</f>
        <v>0.8</v>
      </c>
    </row>
    <row r="839" spans="1:19" ht="13.5" x14ac:dyDescent="0.25">
      <c r="A839" t="s">
        <v>1797</v>
      </c>
      <c r="B839" t="s">
        <v>1798</v>
      </c>
      <c r="C839" t="str">
        <f t="shared" si="422"/>
        <v>Adam Griffith</v>
      </c>
      <c r="D839" t="s">
        <v>32</v>
      </c>
      <c r="E839" s="3" t="str">
        <f t="shared" si="435"/>
        <v>Male</v>
      </c>
      <c r="F839" s="5">
        <v>51</v>
      </c>
      <c r="G839" t="s">
        <v>62</v>
      </c>
      <c r="H839" t="s">
        <v>63</v>
      </c>
      <c r="I839" t="s">
        <v>290</v>
      </c>
      <c r="J839" s="5">
        <v>32</v>
      </c>
      <c r="K839" s="3" t="str" cm="1">
        <f t="array" ref="K839">_xlfn.IFS(J839&lt;=5, "0-5", J839&lt;=10, "6-10", J839&lt;=15, "11-15", J839&lt;=20, "16-20", J839&gt;20, "21+")</f>
        <v>21+</v>
      </c>
      <c r="L839" s="2">
        <v>50</v>
      </c>
      <c r="M839" s="4" t="str">
        <f>SUBSTITUTE(L839, "$","")</f>
        <v>50</v>
      </c>
      <c r="N839" s="4">
        <f t="shared" si="437"/>
        <v>50</v>
      </c>
      <c r="O839" s="5">
        <v>3.2</v>
      </c>
      <c r="P839">
        <v>0</v>
      </c>
      <c r="Q839" t="s">
        <v>54</v>
      </c>
      <c r="R839">
        <v>88</v>
      </c>
      <c r="S839" s="6">
        <f>R839/100</f>
        <v>0.88</v>
      </c>
    </row>
    <row r="840" spans="1:19" ht="13.5" x14ac:dyDescent="0.25">
      <c r="A840" t="s">
        <v>1799</v>
      </c>
      <c r="B840" t="s">
        <v>1800</v>
      </c>
      <c r="C840" t="str">
        <f t="shared" si="422"/>
        <v>Daniel Roberson</v>
      </c>
      <c r="D840" t="s">
        <v>43</v>
      </c>
      <c r="E840" s="3" t="str">
        <f t="shared" si="435"/>
        <v>Male</v>
      </c>
      <c r="F840" s="5">
        <v>44</v>
      </c>
      <c r="G840" t="s">
        <v>146</v>
      </c>
      <c r="H840" t="s">
        <v>147</v>
      </c>
      <c r="I840" t="s">
        <v>286</v>
      </c>
      <c r="J840" s="5">
        <v>4</v>
      </c>
      <c r="K840" s="3" t="str" cm="1">
        <f t="array" ref="K840">_xlfn.IFS(J840&lt;=5, "0-5", J840&lt;=10, "6-10", J840&lt;=15, "11-15", J840&lt;=20, "16-20", J840&gt;20, "21+")</f>
        <v>0-5</v>
      </c>
      <c r="L840" t="s">
        <v>72</v>
      </c>
      <c r="M840" s="4" t="str">
        <f t="shared" ref="M840" si="439">_xlfn.TEXTAFTER(L840, " ")</f>
        <v>30</v>
      </c>
      <c r="N840" s="4">
        <f t="shared" si="437"/>
        <v>30</v>
      </c>
      <c r="O840" s="5">
        <v>0</v>
      </c>
      <c r="P840" t="s">
        <v>64</v>
      </c>
      <c r="Q840" t="s">
        <v>54</v>
      </c>
      <c r="R840" s="1">
        <v>0.8</v>
      </c>
      <c r="S840" s="6">
        <f t="shared" ref="S840:S843" si="440">R840</f>
        <v>0.8</v>
      </c>
    </row>
    <row r="841" spans="1:19" ht="13.5" x14ac:dyDescent="0.25">
      <c r="A841" t="s">
        <v>1801</v>
      </c>
      <c r="B841" t="s">
        <v>1802</v>
      </c>
      <c r="C841" t="str">
        <f t="shared" si="422"/>
        <v>Dale Haynes</v>
      </c>
      <c r="D841" t="s">
        <v>32</v>
      </c>
      <c r="E841" s="3" t="str">
        <f t="shared" si="435"/>
        <v>Male</v>
      </c>
      <c r="F841" s="5">
        <v>58</v>
      </c>
      <c r="G841" t="s">
        <v>84</v>
      </c>
      <c r="H841" t="s">
        <v>24</v>
      </c>
      <c r="I841" t="s">
        <v>288</v>
      </c>
      <c r="J841" s="5">
        <v>33</v>
      </c>
      <c r="K841" s="3" t="str" cm="1">
        <f t="array" ref="K841">_xlfn.IFS(J841&lt;=5, "0-5", J841&lt;=10, "6-10", J841&lt;=15, "11-15", J841&lt;=20, "16-20", J841&gt;20, "21+")</f>
        <v>21+</v>
      </c>
      <c r="L841">
        <v>30</v>
      </c>
      <c r="M841" s="4">
        <f>L841</f>
        <v>30</v>
      </c>
      <c r="N841" s="4">
        <f t="shared" si="437"/>
        <v>30</v>
      </c>
      <c r="O841" s="5">
        <v>3.3</v>
      </c>
      <c r="P841" t="s">
        <v>57</v>
      </c>
      <c r="Q841" t="s">
        <v>28</v>
      </c>
      <c r="R841" s="1">
        <v>0.71</v>
      </c>
      <c r="S841" s="6">
        <f t="shared" si="440"/>
        <v>0.71</v>
      </c>
    </row>
    <row r="842" spans="1:19" ht="13.5" x14ac:dyDescent="0.25">
      <c r="A842" t="s">
        <v>1803</v>
      </c>
      <c r="B842" t="s">
        <v>1804</v>
      </c>
      <c r="C842" t="str">
        <f t="shared" si="422"/>
        <v>Emily Scott</v>
      </c>
      <c r="D842" t="s">
        <v>37</v>
      </c>
      <c r="E842" s="3" t="str">
        <f t="shared" si="435"/>
        <v>Female</v>
      </c>
      <c r="F842" s="5">
        <v>38</v>
      </c>
      <c r="G842" t="s">
        <v>177</v>
      </c>
      <c r="H842" t="s">
        <v>178</v>
      </c>
      <c r="I842" t="s">
        <v>285</v>
      </c>
      <c r="J842" s="5">
        <v>14</v>
      </c>
      <c r="K842" s="3" t="str" cm="1">
        <f t="array" ref="K842">_xlfn.IFS(J842&lt;=5, "0-5", J842&lt;=10, "6-10", J842&lt;=15, "11-15", J842&lt;=20, "16-20", J842&gt;20, "21+")</f>
        <v>11-15</v>
      </c>
      <c r="N842" s="4" t="str">
        <f t="shared" si="437"/>
        <v>NA</v>
      </c>
      <c r="O842" s="5">
        <v>1.1000000000000001</v>
      </c>
      <c r="P842">
        <v>1</v>
      </c>
      <c r="Q842" t="s">
        <v>28</v>
      </c>
      <c r="R842" s="1">
        <v>0.76</v>
      </c>
      <c r="S842" s="6">
        <f t="shared" si="440"/>
        <v>0.76</v>
      </c>
    </row>
    <row r="843" spans="1:19" ht="13.5" x14ac:dyDescent="0.25">
      <c r="A843" t="s">
        <v>1805</v>
      </c>
      <c r="B843" t="s">
        <v>1806</v>
      </c>
      <c r="C843" t="str">
        <f t="shared" si="422"/>
        <v>David Brown</v>
      </c>
      <c r="D843" t="s">
        <v>328</v>
      </c>
      <c r="E843" s="3" t="str">
        <f t="shared" si="435"/>
        <v>Male</v>
      </c>
      <c r="F843" s="5">
        <v>24</v>
      </c>
      <c r="G843" t="s">
        <v>183</v>
      </c>
      <c r="H843" t="s">
        <v>39</v>
      </c>
      <c r="I843" t="s">
        <v>286</v>
      </c>
      <c r="J843" s="5">
        <v>6</v>
      </c>
      <c r="K843" s="3" t="str" cm="1">
        <f t="array" ref="K843">_xlfn.IFS(J843&lt;=5, "0-5", J843&lt;=10, "6-10", J843&lt;=15, "11-15", J843&lt;=20, "16-20", J843&gt;20, "21+")</f>
        <v>6-10</v>
      </c>
      <c r="L843" t="s">
        <v>72</v>
      </c>
      <c r="M843" s="4" t="str">
        <f t="shared" ref="M843:M844" si="441">_xlfn.TEXTAFTER(L843, " ")</f>
        <v>30</v>
      </c>
      <c r="N843" s="4">
        <f t="shared" si="437"/>
        <v>30</v>
      </c>
      <c r="O843" s="5">
        <v>4.5999999999999996</v>
      </c>
      <c r="P843">
        <v>1</v>
      </c>
      <c r="Q843" t="s">
        <v>28</v>
      </c>
      <c r="R843" s="1">
        <v>0.93</v>
      </c>
      <c r="S843" s="6">
        <f t="shared" si="440"/>
        <v>0.93</v>
      </c>
    </row>
    <row r="844" spans="1:19" ht="13.5" x14ac:dyDescent="0.25">
      <c r="A844" t="s">
        <v>1807</v>
      </c>
      <c r="B844" t="s">
        <v>1808</v>
      </c>
      <c r="C844" t="str">
        <f t="shared" si="422"/>
        <v>Stephanie Guzman</v>
      </c>
      <c r="D844" t="s">
        <v>301</v>
      </c>
      <c r="E844" s="3" t="str">
        <f t="shared" si="435"/>
        <v>Female</v>
      </c>
      <c r="F844" s="5">
        <v>30</v>
      </c>
      <c r="G844" t="s">
        <v>67</v>
      </c>
      <c r="H844" t="s">
        <v>68</v>
      </c>
      <c r="I844" t="s">
        <v>292</v>
      </c>
      <c r="J844" s="5">
        <v>5</v>
      </c>
      <c r="K844" s="3" t="str" cm="1">
        <f t="array" ref="K844">_xlfn.IFS(J844&lt;=5, "0-5", J844&lt;=10, "6-10", J844&lt;=15, "11-15", J844&lt;=20, "16-20", J844&gt;20, "21+")</f>
        <v>0-5</v>
      </c>
      <c r="L844" t="s">
        <v>72</v>
      </c>
      <c r="M844" s="4" t="str">
        <f t="shared" si="441"/>
        <v>30</v>
      </c>
      <c r="N844" s="4">
        <f t="shared" si="437"/>
        <v>30</v>
      </c>
      <c r="P844">
        <v>0</v>
      </c>
      <c r="Q844" t="s">
        <v>54</v>
      </c>
      <c r="S844" s="7"/>
    </row>
    <row r="845" spans="1:19" ht="13.5" x14ac:dyDescent="0.25">
      <c r="A845" t="s">
        <v>1809</v>
      </c>
      <c r="B845" t="s">
        <v>1810</v>
      </c>
      <c r="C845" t="str">
        <f t="shared" si="422"/>
        <v>Maxwell Johnson</v>
      </c>
      <c r="D845" t="s">
        <v>311</v>
      </c>
      <c r="E845" s="3" t="str">
        <f t="shared" si="435"/>
        <v>Male</v>
      </c>
      <c r="F845" s="5">
        <v>25</v>
      </c>
      <c r="G845" t="s">
        <v>104</v>
      </c>
      <c r="H845" t="s">
        <v>105</v>
      </c>
      <c r="I845" t="s">
        <v>288</v>
      </c>
      <c r="J845" s="5">
        <v>3</v>
      </c>
      <c r="K845" s="3" t="str" cm="1">
        <f t="array" ref="K845">_xlfn.IFS(J845&lt;=5, "0-5", J845&lt;=10, "6-10", J845&lt;=15, "11-15", J845&lt;=20, "16-20", J845&gt;20, "21+")</f>
        <v>0-5</v>
      </c>
      <c r="L845">
        <v>75</v>
      </c>
      <c r="M845" s="4">
        <f>L845</f>
        <v>75</v>
      </c>
      <c r="N845" s="4">
        <f t="shared" si="437"/>
        <v>75</v>
      </c>
      <c r="P845">
        <v>0</v>
      </c>
      <c r="Q845" t="s">
        <v>54</v>
      </c>
      <c r="R845" s="1">
        <v>0.83</v>
      </c>
      <c r="S845" s="6">
        <f t="shared" ref="S845:S847" si="442">R845</f>
        <v>0.83</v>
      </c>
    </row>
    <row r="846" spans="1:19" ht="13.5" x14ac:dyDescent="0.25">
      <c r="A846" t="s">
        <v>1811</v>
      </c>
      <c r="B846" t="s">
        <v>1812</v>
      </c>
      <c r="C846" t="str">
        <f t="shared" si="422"/>
        <v>Reginald Stephens</v>
      </c>
      <c r="D846" t="s">
        <v>328</v>
      </c>
      <c r="E846" s="3" t="str">
        <f t="shared" si="435"/>
        <v>Male</v>
      </c>
      <c r="F846" s="5">
        <v>54</v>
      </c>
      <c r="G846" t="s">
        <v>104</v>
      </c>
      <c r="H846" t="s">
        <v>105</v>
      </c>
      <c r="I846" t="s">
        <v>285</v>
      </c>
      <c r="J846" s="5">
        <v>17</v>
      </c>
      <c r="K846" s="3" t="str" cm="1">
        <f t="array" ref="K846">_xlfn.IFS(J846&lt;=5, "0-5", J846&lt;=10, "6-10", J846&lt;=15, "11-15", J846&lt;=20, "16-20", J846&gt;20, "21+")</f>
        <v>16-20</v>
      </c>
      <c r="L846" s="2">
        <v>100</v>
      </c>
      <c r="M846" s="4" t="str">
        <f>SUBSTITUTE(L846, "$","")</f>
        <v>100</v>
      </c>
      <c r="N846" s="4">
        <f t="shared" si="437"/>
        <v>100</v>
      </c>
      <c r="O846" s="5">
        <v>0</v>
      </c>
      <c r="P846">
        <v>0</v>
      </c>
      <c r="Q846" t="s">
        <v>54</v>
      </c>
      <c r="R846" s="1">
        <v>0.71</v>
      </c>
      <c r="S846" s="6">
        <f t="shared" si="442"/>
        <v>0.71</v>
      </c>
    </row>
    <row r="847" spans="1:19" ht="13.5" x14ac:dyDescent="0.25">
      <c r="A847" t="s">
        <v>1813</v>
      </c>
      <c r="B847" t="s">
        <v>1814</v>
      </c>
      <c r="C847" t="str">
        <f t="shared" si="422"/>
        <v>Justin Jones</v>
      </c>
      <c r="D847" t="s">
        <v>31</v>
      </c>
      <c r="E847" s="3" t="str">
        <f t="shared" si="435"/>
        <v>Male</v>
      </c>
      <c r="F847" s="5">
        <v>54</v>
      </c>
      <c r="G847" t="s">
        <v>253</v>
      </c>
      <c r="H847" t="s">
        <v>254</v>
      </c>
      <c r="I847" t="s">
        <v>288</v>
      </c>
      <c r="J847" s="5">
        <v>9</v>
      </c>
      <c r="K847" s="3" t="str" cm="1">
        <f t="array" ref="K847">_xlfn.IFS(J847&lt;=5, "0-5", J847&lt;=10, "6-10", J847&lt;=15, "11-15", J847&lt;=20, "16-20", J847&gt;20, "21+")</f>
        <v>6-10</v>
      </c>
      <c r="L847" t="s">
        <v>78</v>
      </c>
      <c r="M847" s="4" t="str">
        <f t="shared" ref="M847" si="443">_xlfn.TEXTAFTER(L847, " ")</f>
        <v>20</v>
      </c>
      <c r="N847" s="4">
        <f t="shared" si="437"/>
        <v>20</v>
      </c>
      <c r="O847" s="5">
        <v>0</v>
      </c>
      <c r="P847" t="s">
        <v>27</v>
      </c>
      <c r="Q847" t="s">
        <v>28</v>
      </c>
      <c r="R847" s="1">
        <v>0.96</v>
      </c>
      <c r="S847" s="6">
        <f t="shared" si="442"/>
        <v>0.96</v>
      </c>
    </row>
    <row r="848" spans="1:19" ht="13.5" x14ac:dyDescent="0.25">
      <c r="A848" t="s">
        <v>1815</v>
      </c>
      <c r="B848" t="s">
        <v>1816</v>
      </c>
      <c r="C848" t="str">
        <f t="shared" si="422"/>
        <v>Kristine Garcia</v>
      </c>
      <c r="D848" t="s">
        <v>301</v>
      </c>
      <c r="E848" s="3" t="str">
        <f t="shared" si="435"/>
        <v>Female</v>
      </c>
      <c r="F848" s="5">
        <v>53</v>
      </c>
      <c r="G848" t="s">
        <v>132</v>
      </c>
      <c r="H848" t="s">
        <v>133</v>
      </c>
      <c r="I848" t="s">
        <v>287</v>
      </c>
      <c r="J848" s="5">
        <v>16</v>
      </c>
      <c r="K848" s="3" t="str" cm="1">
        <f t="array" ref="K848">_xlfn.IFS(J848&lt;=5, "0-5", J848&lt;=10, "6-10", J848&lt;=15, "11-15", J848&lt;=20, "16-20", J848&gt;20, "21+")</f>
        <v>16-20</v>
      </c>
      <c r="L848">
        <v>40</v>
      </c>
      <c r="M848" s="4">
        <f t="shared" ref="M848:M849" si="444">L848</f>
        <v>40</v>
      </c>
      <c r="N848" s="4">
        <f t="shared" si="437"/>
        <v>40</v>
      </c>
      <c r="O848" s="5">
        <v>0</v>
      </c>
      <c r="P848" t="s">
        <v>81</v>
      </c>
      <c r="Q848" t="s">
        <v>54</v>
      </c>
      <c r="S848" s="7"/>
    </row>
    <row r="849" spans="1:19" ht="13.5" x14ac:dyDescent="0.25">
      <c r="A849" t="s">
        <v>93</v>
      </c>
      <c r="B849" t="s">
        <v>94</v>
      </c>
      <c r="C849" t="str">
        <f t="shared" si="422"/>
        <v>John Nguyen</v>
      </c>
      <c r="D849" t="s">
        <v>31</v>
      </c>
      <c r="E849" s="3" t="str">
        <f t="shared" si="435"/>
        <v>Male</v>
      </c>
      <c r="F849" s="5">
        <v>22</v>
      </c>
      <c r="G849" t="s">
        <v>95</v>
      </c>
      <c r="H849" t="s">
        <v>96</v>
      </c>
      <c r="I849" t="s">
        <v>25</v>
      </c>
      <c r="J849" s="5">
        <v>3</v>
      </c>
      <c r="K849" s="3" t="str" cm="1">
        <f t="array" ref="K849">_xlfn.IFS(J849&lt;=5, "0-5", J849&lt;=10, "6-10", J849&lt;=15, "11-15", J849&lt;=20, "16-20", J849&gt;20, "21+")</f>
        <v>0-5</v>
      </c>
      <c r="L849">
        <v>75</v>
      </c>
      <c r="M849" s="4">
        <f t="shared" si="444"/>
        <v>75</v>
      </c>
      <c r="N849" s="4">
        <f t="shared" si="437"/>
        <v>75</v>
      </c>
      <c r="O849" s="5">
        <v>3.4</v>
      </c>
      <c r="P849" t="s">
        <v>57</v>
      </c>
      <c r="Q849" t="s">
        <v>28</v>
      </c>
      <c r="R849" s="1">
        <v>0.65</v>
      </c>
      <c r="S849" s="6">
        <f>R849</f>
        <v>0.65</v>
      </c>
    </row>
    <row r="850" spans="1:19" ht="13.5" x14ac:dyDescent="0.25">
      <c r="A850" t="s">
        <v>1817</v>
      </c>
      <c r="B850" t="s">
        <v>1818</v>
      </c>
      <c r="C850" t="str">
        <f t="shared" si="422"/>
        <v>Anna Fleming</v>
      </c>
      <c r="D850" t="s">
        <v>304</v>
      </c>
      <c r="E850" s="3" t="str">
        <f t="shared" si="435"/>
        <v>Female</v>
      </c>
      <c r="F850" s="5">
        <v>23</v>
      </c>
      <c r="G850" t="s">
        <v>44</v>
      </c>
      <c r="H850" t="s">
        <v>24</v>
      </c>
      <c r="I850" t="s">
        <v>291</v>
      </c>
      <c r="J850" s="5">
        <v>2</v>
      </c>
      <c r="K850" s="3" t="str" cm="1">
        <f t="array" ref="K850">_xlfn.IFS(J850&lt;=5, "0-5", J850&lt;=10, "6-10", J850&lt;=15, "11-15", J850&lt;=20, "16-20", J850&gt;20, "21+")</f>
        <v>0-5</v>
      </c>
      <c r="L850" t="s">
        <v>78</v>
      </c>
      <c r="M850" s="4" t="str">
        <f t="shared" ref="M850" si="445">_xlfn.TEXTAFTER(L850, " ")</f>
        <v>20</v>
      </c>
      <c r="N850" s="4">
        <f t="shared" si="437"/>
        <v>20</v>
      </c>
      <c r="O850" s="5">
        <v>1.3</v>
      </c>
      <c r="P850" t="s">
        <v>64</v>
      </c>
      <c r="Q850" t="s">
        <v>54</v>
      </c>
      <c r="S850" s="7"/>
    </row>
    <row r="851" spans="1:19" ht="13.5" x14ac:dyDescent="0.25">
      <c r="A851" t="s">
        <v>1819</v>
      </c>
      <c r="B851" t="s">
        <v>1820</v>
      </c>
      <c r="C851" t="str">
        <f t="shared" si="422"/>
        <v>Linda Williamson</v>
      </c>
      <c r="D851" t="s">
        <v>21</v>
      </c>
      <c r="E851" s="3" t="str">
        <f t="shared" si="435"/>
        <v>Female</v>
      </c>
      <c r="F851" s="5">
        <v>47</v>
      </c>
      <c r="G851" t="s">
        <v>132</v>
      </c>
      <c r="H851" t="s">
        <v>133</v>
      </c>
      <c r="I851" t="s">
        <v>288</v>
      </c>
      <c r="J851" s="5">
        <v>16</v>
      </c>
      <c r="K851" s="3" t="str" cm="1">
        <f t="array" ref="K851">_xlfn.IFS(J851&lt;=5, "0-5", J851&lt;=10, "6-10", J851&lt;=15, "11-15", J851&lt;=20, "16-20", J851&gt;20, "21+")</f>
        <v>16-20</v>
      </c>
      <c r="L851">
        <v>50</v>
      </c>
      <c r="M851" s="4">
        <f t="shared" ref="M851:M852" si="446">L851</f>
        <v>50</v>
      </c>
      <c r="N851" s="4">
        <f t="shared" si="437"/>
        <v>50</v>
      </c>
      <c r="O851" s="5">
        <v>1.9</v>
      </c>
      <c r="P851">
        <v>0</v>
      </c>
      <c r="Q851" t="s">
        <v>54</v>
      </c>
      <c r="R851" s="1">
        <v>0.71</v>
      </c>
      <c r="S851" s="6">
        <f>R851</f>
        <v>0.71</v>
      </c>
    </row>
    <row r="852" spans="1:19" ht="13.5" x14ac:dyDescent="0.25">
      <c r="A852" t="s">
        <v>1821</v>
      </c>
      <c r="B852" t="s">
        <v>1822</v>
      </c>
      <c r="C852" t="str">
        <f t="shared" si="422"/>
        <v>Roy Wilson</v>
      </c>
      <c r="D852" t="s">
        <v>32</v>
      </c>
      <c r="E852" s="3" t="str">
        <f t="shared" si="435"/>
        <v>Male</v>
      </c>
      <c r="F852" s="5">
        <v>24</v>
      </c>
      <c r="G852" t="s">
        <v>132</v>
      </c>
      <c r="H852" t="s">
        <v>133</v>
      </c>
      <c r="I852" t="s">
        <v>290</v>
      </c>
      <c r="J852" s="5">
        <v>6</v>
      </c>
      <c r="K852" s="3" t="str" cm="1">
        <f t="array" ref="K852">_xlfn.IFS(J852&lt;=5, "0-5", J852&lt;=10, "6-10", J852&lt;=15, "11-15", J852&lt;=20, "16-20", J852&gt;20, "21+")</f>
        <v>6-10</v>
      </c>
      <c r="L852">
        <v>50</v>
      </c>
      <c r="M852" s="4">
        <f t="shared" si="446"/>
        <v>50</v>
      </c>
      <c r="N852" s="4">
        <f t="shared" si="437"/>
        <v>50</v>
      </c>
      <c r="O852" s="5">
        <v>1.4</v>
      </c>
      <c r="P852" t="s">
        <v>57</v>
      </c>
      <c r="Q852" t="s">
        <v>28</v>
      </c>
      <c r="R852">
        <v>63</v>
      </c>
      <c r="S852" s="6">
        <f>R852/100</f>
        <v>0.63</v>
      </c>
    </row>
    <row r="853" spans="1:19" ht="13.5" x14ac:dyDescent="0.25">
      <c r="A853" t="s">
        <v>1823</v>
      </c>
      <c r="B853" t="s">
        <v>1824</v>
      </c>
      <c r="C853" t="str">
        <f t="shared" si="422"/>
        <v>Jennifer Pierce</v>
      </c>
      <c r="D853" t="s">
        <v>37</v>
      </c>
      <c r="E853" s="3" t="str">
        <f t="shared" si="435"/>
        <v>Female</v>
      </c>
      <c r="F853" s="5">
        <v>57</v>
      </c>
      <c r="G853" t="s">
        <v>146</v>
      </c>
      <c r="H853" t="s">
        <v>147</v>
      </c>
      <c r="I853" t="s">
        <v>286</v>
      </c>
      <c r="J853" s="5">
        <v>10</v>
      </c>
      <c r="K853" s="3" t="str" cm="1">
        <f t="array" ref="K853">_xlfn.IFS(J853&lt;=5, "0-5", J853&lt;=10, "6-10", J853&lt;=15, "11-15", J853&lt;=20, "16-20", J853&gt;20, "21+")</f>
        <v>6-10</v>
      </c>
      <c r="L853" s="2">
        <v>100</v>
      </c>
      <c r="M853" s="4" t="str">
        <f t="shared" ref="M853:M855" si="447">SUBSTITUTE(L853, "$","")</f>
        <v>100</v>
      </c>
      <c r="N853" s="4">
        <f t="shared" si="437"/>
        <v>100</v>
      </c>
      <c r="O853" s="5">
        <v>4.3</v>
      </c>
      <c r="P853" t="b">
        <v>0</v>
      </c>
      <c r="Q853" t="s">
        <v>54</v>
      </c>
      <c r="S853" s="7"/>
    </row>
    <row r="854" spans="1:19" ht="13.5" x14ac:dyDescent="0.25">
      <c r="A854" t="s">
        <v>1825</v>
      </c>
      <c r="B854" t="s">
        <v>1826</v>
      </c>
      <c r="C854" t="str">
        <f t="shared" si="422"/>
        <v>Jason Johnson</v>
      </c>
      <c r="D854" t="s">
        <v>32</v>
      </c>
      <c r="E854" s="3" t="str">
        <f t="shared" si="435"/>
        <v>Male</v>
      </c>
      <c r="F854" s="5">
        <v>48</v>
      </c>
      <c r="G854" t="s">
        <v>84</v>
      </c>
      <c r="H854" t="s">
        <v>24</v>
      </c>
      <c r="I854" t="s">
        <v>287</v>
      </c>
      <c r="J854" s="5">
        <v>16</v>
      </c>
      <c r="K854" s="3" t="str" cm="1">
        <f t="array" ref="K854">_xlfn.IFS(J854&lt;=5, "0-5", J854&lt;=10, "6-10", J854&lt;=15, "11-15", J854&lt;=20, "16-20", J854&gt;20, "21+")</f>
        <v>16-20</v>
      </c>
      <c r="L854" s="2">
        <v>30</v>
      </c>
      <c r="M854" s="4" t="str">
        <f t="shared" si="447"/>
        <v>30</v>
      </c>
      <c r="N854" s="4">
        <f t="shared" si="437"/>
        <v>30</v>
      </c>
      <c r="P854" t="s">
        <v>81</v>
      </c>
      <c r="Q854" t="s">
        <v>54</v>
      </c>
      <c r="R854" s="1">
        <v>0.97</v>
      </c>
      <c r="S854" s="6">
        <f>R854</f>
        <v>0.97</v>
      </c>
    </row>
    <row r="855" spans="1:19" ht="13.5" x14ac:dyDescent="0.25">
      <c r="A855" t="s">
        <v>1827</v>
      </c>
      <c r="B855" t="s">
        <v>1828</v>
      </c>
      <c r="C855" t="str">
        <f t="shared" si="422"/>
        <v>Jasmine Lane</v>
      </c>
      <c r="D855" t="s">
        <v>22</v>
      </c>
      <c r="E855" s="3" t="str">
        <f t="shared" si="435"/>
        <v>Female</v>
      </c>
      <c r="F855" s="5">
        <v>21</v>
      </c>
      <c r="G855" t="s">
        <v>67</v>
      </c>
      <c r="H855" t="s">
        <v>68</v>
      </c>
      <c r="I855" t="s">
        <v>286</v>
      </c>
      <c r="J855" s="5">
        <v>0</v>
      </c>
      <c r="K855" s="3" t="str" cm="1">
        <f t="array" ref="K855">_xlfn.IFS(J855&lt;=5, "0-5", J855&lt;=10, "6-10", J855&lt;=15, "11-15", J855&lt;=20, "16-20", J855&gt;20, "21+")</f>
        <v>0-5</v>
      </c>
      <c r="L855" s="2">
        <v>100</v>
      </c>
      <c r="M855" s="4" t="str">
        <f t="shared" si="447"/>
        <v>100</v>
      </c>
      <c r="N855" s="4">
        <f t="shared" si="437"/>
        <v>100</v>
      </c>
      <c r="O855" s="5">
        <v>4.3</v>
      </c>
      <c r="P855">
        <v>0</v>
      </c>
      <c r="Q855" t="s">
        <v>54</v>
      </c>
      <c r="S855" s="7"/>
    </row>
    <row r="856" spans="1:19" ht="13.5" x14ac:dyDescent="0.25">
      <c r="A856" t="s">
        <v>90</v>
      </c>
      <c r="B856" t="s">
        <v>91</v>
      </c>
      <c r="C856" t="str">
        <f t="shared" si="422"/>
        <v>Evan Soto</v>
      </c>
      <c r="D856" t="s">
        <v>43</v>
      </c>
      <c r="E856" s="3" t="str">
        <f t="shared" si="435"/>
        <v>Male</v>
      </c>
      <c r="F856" s="5">
        <v>33</v>
      </c>
      <c r="G856" t="s">
        <v>88</v>
      </c>
      <c r="H856" t="s">
        <v>89</v>
      </c>
      <c r="I856" t="s">
        <v>25</v>
      </c>
      <c r="J856" s="5">
        <v>13</v>
      </c>
      <c r="K856" s="3" t="str" cm="1">
        <f t="array" ref="K856">_xlfn.IFS(J856&lt;=5, "0-5", J856&lt;=10, "6-10", J856&lt;=15, "11-15", J856&lt;=20, "16-20", J856&gt;20, "21+")</f>
        <v>11-15</v>
      </c>
      <c r="L856" t="s">
        <v>92</v>
      </c>
      <c r="M856" s="4" t="str">
        <f t="shared" ref="M856" si="448">_xlfn.TEXTAFTER(L856, " ")</f>
        <v>75</v>
      </c>
      <c r="N856" s="4">
        <f t="shared" si="437"/>
        <v>75</v>
      </c>
      <c r="O856" s="5">
        <v>0</v>
      </c>
      <c r="P856" t="b">
        <v>1</v>
      </c>
      <c r="Q856" t="s">
        <v>28</v>
      </c>
      <c r="S856" s="7"/>
    </row>
    <row r="857" spans="1:19" ht="13.5" x14ac:dyDescent="0.25">
      <c r="A857" t="s">
        <v>1829</v>
      </c>
      <c r="B857" t="s">
        <v>1830</v>
      </c>
      <c r="C857" t="str">
        <f t="shared" si="422"/>
        <v>Kevin Serrano</v>
      </c>
      <c r="D857" t="s">
        <v>32</v>
      </c>
      <c r="E857" s="3" t="str">
        <f t="shared" si="435"/>
        <v>Male</v>
      </c>
      <c r="F857" s="5">
        <v>41</v>
      </c>
      <c r="G857" t="s">
        <v>67</v>
      </c>
      <c r="H857" t="s">
        <v>68</v>
      </c>
      <c r="I857" t="s">
        <v>283</v>
      </c>
      <c r="J857" s="5">
        <v>12</v>
      </c>
      <c r="K857" s="3" t="str" cm="1">
        <f t="array" ref="K857">_xlfn.IFS(J857&lt;=5, "0-5", J857&lt;=10, "6-10", J857&lt;=15, "11-15", J857&lt;=20, "16-20", J857&gt;20, "21+")</f>
        <v>11-15</v>
      </c>
      <c r="N857" s="4" t="str">
        <f t="shared" si="437"/>
        <v>NA</v>
      </c>
      <c r="O857" s="5">
        <v>1.3</v>
      </c>
      <c r="P857">
        <v>0</v>
      </c>
      <c r="Q857" t="s">
        <v>54</v>
      </c>
      <c r="R857" s="1">
        <v>0.85</v>
      </c>
      <c r="S857" s="6">
        <f t="shared" ref="S857:S859" si="449">R857</f>
        <v>0.85</v>
      </c>
    </row>
    <row r="858" spans="1:19" ht="13.5" x14ac:dyDescent="0.25">
      <c r="A858" t="s">
        <v>1831</v>
      </c>
      <c r="B858" t="s">
        <v>1832</v>
      </c>
      <c r="C858" t="str">
        <f t="shared" si="422"/>
        <v>Nathaniel Benson</v>
      </c>
      <c r="D858" t="s">
        <v>311</v>
      </c>
      <c r="E858" s="3" t="str">
        <f t="shared" si="435"/>
        <v>Male</v>
      </c>
      <c r="F858" s="5">
        <v>40</v>
      </c>
      <c r="G858" t="s">
        <v>38</v>
      </c>
      <c r="H858" t="s">
        <v>39</v>
      </c>
      <c r="I858" t="s">
        <v>288</v>
      </c>
      <c r="J858" s="5">
        <v>13</v>
      </c>
      <c r="K858" s="3" t="str" cm="1">
        <f t="array" ref="K858">_xlfn.IFS(J858&lt;=5, "0-5", J858&lt;=10, "6-10", J858&lt;=15, "11-15", J858&lt;=20, "16-20", J858&gt;20, "21+")</f>
        <v>11-15</v>
      </c>
      <c r="L858" t="s">
        <v>112</v>
      </c>
      <c r="M858" s="4" t="str">
        <f t="shared" ref="M858:M859" si="450">_xlfn.TEXTAFTER(L858, " ")</f>
        <v>50</v>
      </c>
      <c r="N858" s="4">
        <f t="shared" si="437"/>
        <v>50</v>
      </c>
      <c r="O858" s="5">
        <v>2.9</v>
      </c>
      <c r="P858" t="s">
        <v>81</v>
      </c>
      <c r="Q858" t="s">
        <v>54</v>
      </c>
      <c r="R858" s="1">
        <v>0.82</v>
      </c>
      <c r="S858" s="6">
        <f t="shared" si="449"/>
        <v>0.82</v>
      </c>
    </row>
    <row r="859" spans="1:19" ht="13.5" x14ac:dyDescent="0.25">
      <c r="A859" t="s">
        <v>1833</v>
      </c>
      <c r="B859" t="s">
        <v>1834</v>
      </c>
      <c r="C859" t="str">
        <f t="shared" si="422"/>
        <v>Deanna Miles</v>
      </c>
      <c r="D859" t="s">
        <v>37</v>
      </c>
      <c r="E859" s="3" t="str">
        <f t="shared" si="435"/>
        <v>Female</v>
      </c>
      <c r="F859" s="5">
        <v>40</v>
      </c>
      <c r="G859" t="s">
        <v>44</v>
      </c>
      <c r="H859" t="s">
        <v>24</v>
      </c>
      <c r="I859" t="s">
        <v>287</v>
      </c>
      <c r="J859" s="5">
        <v>22</v>
      </c>
      <c r="K859" s="3" t="str" cm="1">
        <f t="array" ref="K859">_xlfn.IFS(J859&lt;=5, "0-5", J859&lt;=10, "6-10", J859&lt;=15, "11-15", J859&lt;=20, "16-20", J859&gt;20, "21+")</f>
        <v>21+</v>
      </c>
      <c r="L859" t="s">
        <v>99</v>
      </c>
      <c r="M859" s="4" t="str">
        <f t="shared" si="450"/>
        <v>40</v>
      </c>
      <c r="N859" s="4">
        <f t="shared" si="437"/>
        <v>40</v>
      </c>
      <c r="O859" s="5">
        <v>4.3</v>
      </c>
      <c r="P859">
        <v>0</v>
      </c>
      <c r="Q859" t="s">
        <v>54</v>
      </c>
      <c r="R859" s="1">
        <v>0.95</v>
      </c>
      <c r="S859" s="6">
        <f t="shared" si="449"/>
        <v>0.95</v>
      </c>
    </row>
    <row r="860" spans="1:19" ht="13.5" x14ac:dyDescent="0.25">
      <c r="A860" t="s">
        <v>1835</v>
      </c>
      <c r="B860" t="s">
        <v>1836</v>
      </c>
      <c r="C860" t="str">
        <f t="shared" si="422"/>
        <v>Beverly Roy</v>
      </c>
      <c r="D860" t="s">
        <v>22</v>
      </c>
      <c r="E860" s="3" t="str">
        <f t="shared" si="435"/>
        <v>Female</v>
      </c>
      <c r="F860" s="5">
        <v>20</v>
      </c>
      <c r="G860" t="s">
        <v>183</v>
      </c>
      <c r="H860" t="s">
        <v>39</v>
      </c>
      <c r="I860" t="s">
        <v>287</v>
      </c>
      <c r="J860" s="5">
        <v>1</v>
      </c>
      <c r="K860" s="3" t="str" cm="1">
        <f t="array" ref="K860">_xlfn.IFS(J860&lt;=5, "0-5", J860&lt;=10, "6-10", J860&lt;=15, "11-15", J860&lt;=20, "16-20", J860&gt;20, "21+")</f>
        <v>0-5</v>
      </c>
      <c r="N860" s="4" t="str">
        <f t="shared" si="437"/>
        <v>NA</v>
      </c>
      <c r="O860" s="5">
        <v>2.7</v>
      </c>
      <c r="P860">
        <v>0</v>
      </c>
      <c r="Q860" t="s">
        <v>54</v>
      </c>
      <c r="R860">
        <v>94</v>
      </c>
      <c r="S860" s="6">
        <f>R860/100</f>
        <v>0.94</v>
      </c>
    </row>
    <row r="861" spans="1:19" ht="13.5" x14ac:dyDescent="0.25">
      <c r="A861" t="s">
        <v>1837</v>
      </c>
      <c r="B861" t="s">
        <v>1838</v>
      </c>
      <c r="C861" t="str">
        <f t="shared" si="422"/>
        <v>Heather Saunders</v>
      </c>
      <c r="D861" t="s">
        <v>301</v>
      </c>
      <c r="E861" s="3" t="str">
        <f t="shared" si="435"/>
        <v>Female</v>
      </c>
      <c r="F861" s="5">
        <v>42</v>
      </c>
      <c r="G861" t="s">
        <v>44</v>
      </c>
      <c r="H861" t="s">
        <v>24</v>
      </c>
      <c r="I861" t="s">
        <v>290</v>
      </c>
      <c r="K861" s="3" t="str" cm="1">
        <f t="array" ref="K861">_xlfn.IFS(J861&lt;=5, "0-5", J861&lt;=10, "6-10", J861&lt;=15, "11-15", J861&lt;=20, "16-20", J861&gt;20, "21+")</f>
        <v>0-5</v>
      </c>
      <c r="L861" s="2">
        <v>50</v>
      </c>
      <c r="M861" s="4" t="str">
        <f>SUBSTITUTE(L861, "$","")</f>
        <v>50</v>
      </c>
      <c r="N861" s="4">
        <f t="shared" si="437"/>
        <v>50</v>
      </c>
      <c r="O861" s="5">
        <v>4.2</v>
      </c>
      <c r="R861" s="1">
        <v>0.96</v>
      </c>
      <c r="S861" s="6">
        <f t="shared" ref="S861:S868" si="451">R861</f>
        <v>0.96</v>
      </c>
    </row>
    <row r="862" spans="1:19" ht="13.5" x14ac:dyDescent="0.25">
      <c r="A862" t="s">
        <v>1839</v>
      </c>
      <c r="B862" t="s">
        <v>1840</v>
      </c>
      <c r="C862" t="str">
        <f t="shared" si="422"/>
        <v>Nicholas Guerrero</v>
      </c>
      <c r="D862" t="s">
        <v>43</v>
      </c>
      <c r="E862" s="3" t="str">
        <f t="shared" si="435"/>
        <v>Male</v>
      </c>
      <c r="F862" s="5">
        <v>32</v>
      </c>
      <c r="G862" t="s">
        <v>125</v>
      </c>
      <c r="H862" t="s">
        <v>39</v>
      </c>
      <c r="I862" t="s">
        <v>292</v>
      </c>
      <c r="J862" s="5">
        <v>12</v>
      </c>
      <c r="K862" s="3" t="str" cm="1">
        <f t="array" ref="K862">_xlfn.IFS(J862&lt;=5, "0-5", J862&lt;=10, "6-10", J862&lt;=15, "11-15", J862&lt;=20, "16-20", J862&gt;20, "21+")</f>
        <v>11-15</v>
      </c>
      <c r="L862">
        <v>40</v>
      </c>
      <c r="M862" s="4">
        <f t="shared" ref="M862:M866" si="452">L862</f>
        <v>40</v>
      </c>
      <c r="N862" s="4">
        <f t="shared" si="437"/>
        <v>40</v>
      </c>
      <c r="O862" s="5">
        <v>0</v>
      </c>
      <c r="P862" t="s">
        <v>27</v>
      </c>
      <c r="Q862" t="s">
        <v>28</v>
      </c>
      <c r="R862" s="1">
        <v>0.63</v>
      </c>
      <c r="S862" s="6">
        <f t="shared" si="451"/>
        <v>0.63</v>
      </c>
    </row>
    <row r="863" spans="1:19" ht="13.5" x14ac:dyDescent="0.25">
      <c r="A863" t="s">
        <v>86</v>
      </c>
      <c r="B863" t="s">
        <v>87</v>
      </c>
      <c r="C863" t="str">
        <f t="shared" si="422"/>
        <v>Christopher Johnson</v>
      </c>
      <c r="D863" t="s">
        <v>32</v>
      </c>
      <c r="E863" s="3" t="str">
        <f t="shared" si="435"/>
        <v>Male</v>
      </c>
      <c r="F863" s="5">
        <v>60</v>
      </c>
      <c r="G863" t="s">
        <v>88</v>
      </c>
      <c r="H863" t="s">
        <v>89</v>
      </c>
      <c r="I863" t="s">
        <v>25</v>
      </c>
      <c r="K863" s="3" t="str" cm="1">
        <f t="array" ref="K863">_xlfn.IFS(J863&lt;=5, "0-5", J863&lt;=10, "6-10", J863&lt;=15, "11-15", J863&lt;=20, "16-20", J863&gt;20, "21+")</f>
        <v>0-5</v>
      </c>
      <c r="L863">
        <v>20</v>
      </c>
      <c r="M863" s="4">
        <f t="shared" si="452"/>
        <v>20</v>
      </c>
      <c r="N863" s="4">
        <f t="shared" si="437"/>
        <v>20</v>
      </c>
      <c r="O863" s="5">
        <v>2.2000000000000002</v>
      </c>
      <c r="P863" t="b">
        <v>0</v>
      </c>
      <c r="Q863" t="s">
        <v>54</v>
      </c>
      <c r="R863" s="1">
        <v>0.6</v>
      </c>
      <c r="S863" s="6">
        <f t="shared" si="451"/>
        <v>0.6</v>
      </c>
    </row>
    <row r="864" spans="1:19" ht="13.5" x14ac:dyDescent="0.25">
      <c r="A864" t="s">
        <v>1841</v>
      </c>
      <c r="B864" t="s">
        <v>1842</v>
      </c>
      <c r="C864" t="str">
        <f t="shared" si="422"/>
        <v>Steven Flowers</v>
      </c>
      <c r="D864" t="s">
        <v>328</v>
      </c>
      <c r="E864" s="3" t="str">
        <f t="shared" si="435"/>
        <v>Male</v>
      </c>
      <c r="F864" s="5">
        <v>46</v>
      </c>
      <c r="G864" t="s">
        <v>117</v>
      </c>
      <c r="H864" t="s">
        <v>118</v>
      </c>
      <c r="I864" t="s">
        <v>284</v>
      </c>
      <c r="J864" s="5">
        <v>12</v>
      </c>
      <c r="K864" s="3" t="str" cm="1">
        <f t="array" ref="K864">_xlfn.IFS(J864&lt;=5, "0-5", J864&lt;=10, "6-10", J864&lt;=15, "11-15", J864&lt;=20, "16-20", J864&gt;20, "21+")</f>
        <v>11-15</v>
      </c>
      <c r="L864">
        <v>50</v>
      </c>
      <c r="M864" s="4">
        <f t="shared" si="452"/>
        <v>50</v>
      </c>
      <c r="N864" s="4">
        <f t="shared" si="437"/>
        <v>50</v>
      </c>
      <c r="O864" s="5">
        <v>4.7</v>
      </c>
      <c r="P864" t="s">
        <v>27</v>
      </c>
      <c r="Q864" t="s">
        <v>28</v>
      </c>
      <c r="R864" s="1">
        <v>0.77</v>
      </c>
      <c r="S864" s="6">
        <f t="shared" si="451"/>
        <v>0.77</v>
      </c>
    </row>
    <row r="865" spans="1:19" ht="13.5" x14ac:dyDescent="0.25">
      <c r="A865" t="s">
        <v>1843</v>
      </c>
      <c r="B865" t="s">
        <v>1844</v>
      </c>
      <c r="C865" t="str">
        <f t="shared" si="422"/>
        <v>Marvin Woods III</v>
      </c>
      <c r="D865" t="s">
        <v>31</v>
      </c>
      <c r="E865" s="3" t="str">
        <f t="shared" si="435"/>
        <v>Male</v>
      </c>
      <c r="F865" s="5">
        <v>29</v>
      </c>
      <c r="G865" t="s">
        <v>165</v>
      </c>
      <c r="H865" t="s">
        <v>166</v>
      </c>
      <c r="I865" t="s">
        <v>283</v>
      </c>
      <c r="J865" s="5">
        <v>0</v>
      </c>
      <c r="K865" s="3" t="str" cm="1">
        <f t="array" ref="K865">_xlfn.IFS(J865&lt;=5, "0-5", J865&lt;=10, "6-10", J865&lt;=15, "11-15", J865&lt;=20, "16-20", J865&gt;20, "21+")</f>
        <v>0-5</v>
      </c>
      <c r="L865">
        <v>30</v>
      </c>
      <c r="M865" s="4">
        <f t="shared" si="452"/>
        <v>30</v>
      </c>
      <c r="N865" s="4">
        <f t="shared" si="437"/>
        <v>30</v>
      </c>
      <c r="O865" s="5">
        <v>0</v>
      </c>
      <c r="P865">
        <v>0</v>
      </c>
      <c r="Q865" t="s">
        <v>54</v>
      </c>
      <c r="R865" s="1">
        <v>0.63</v>
      </c>
      <c r="S865" s="6">
        <f t="shared" si="451"/>
        <v>0.63</v>
      </c>
    </row>
    <row r="866" spans="1:19" ht="13.5" x14ac:dyDescent="0.25">
      <c r="A866" t="s">
        <v>1845</v>
      </c>
      <c r="B866" t="s">
        <v>1846</v>
      </c>
      <c r="C866" t="str">
        <f t="shared" si="422"/>
        <v>Michelle Cook</v>
      </c>
      <c r="D866" t="s">
        <v>21</v>
      </c>
      <c r="E866" s="3" t="str">
        <f t="shared" si="435"/>
        <v>Female</v>
      </c>
      <c r="F866" s="5">
        <v>39</v>
      </c>
      <c r="G866" t="s">
        <v>47</v>
      </c>
      <c r="H866" t="s">
        <v>48</v>
      </c>
      <c r="I866" t="s">
        <v>285</v>
      </c>
      <c r="J866" s="5">
        <v>18</v>
      </c>
      <c r="K866" s="3" t="str" cm="1">
        <f t="array" ref="K866">_xlfn.IFS(J866&lt;=5, "0-5", J866&lt;=10, "6-10", J866&lt;=15, "11-15", J866&lt;=20, "16-20", J866&gt;20, "21+")</f>
        <v>16-20</v>
      </c>
      <c r="L866">
        <v>20</v>
      </c>
      <c r="M866" s="4">
        <f t="shared" si="452"/>
        <v>20</v>
      </c>
      <c r="N866" s="4">
        <f t="shared" si="437"/>
        <v>20</v>
      </c>
      <c r="O866" s="5">
        <v>2.5</v>
      </c>
      <c r="P866" t="s">
        <v>27</v>
      </c>
      <c r="Q866" t="s">
        <v>28</v>
      </c>
      <c r="R866" s="1">
        <v>0.61</v>
      </c>
      <c r="S866" s="6">
        <f t="shared" si="451"/>
        <v>0.61</v>
      </c>
    </row>
    <row r="867" spans="1:19" ht="13.5" x14ac:dyDescent="0.25">
      <c r="A867" t="s">
        <v>1847</v>
      </c>
      <c r="B867" t="s">
        <v>1848</v>
      </c>
      <c r="C867" t="str">
        <f t="shared" si="422"/>
        <v>Logan Zamora</v>
      </c>
      <c r="D867" t="s">
        <v>311</v>
      </c>
      <c r="E867" s="3" t="str">
        <f t="shared" si="435"/>
        <v>Male</v>
      </c>
      <c r="F867" s="5">
        <v>55</v>
      </c>
      <c r="G867" t="s">
        <v>95</v>
      </c>
      <c r="H867" t="s">
        <v>96</v>
      </c>
      <c r="I867" t="s">
        <v>285</v>
      </c>
      <c r="J867" s="5">
        <v>2</v>
      </c>
      <c r="K867" s="3" t="str" cm="1">
        <f t="array" ref="K867">_xlfn.IFS(J867&lt;=5, "0-5", J867&lt;=10, "6-10", J867&lt;=15, "11-15", J867&lt;=20, "16-20", J867&gt;20, "21+")</f>
        <v>0-5</v>
      </c>
      <c r="L867" s="2">
        <v>50</v>
      </c>
      <c r="M867" s="4" t="str">
        <f>SUBSTITUTE(L867, "$","")</f>
        <v>50</v>
      </c>
      <c r="N867" s="4">
        <f t="shared" si="437"/>
        <v>50</v>
      </c>
      <c r="O867" s="5">
        <v>3.9</v>
      </c>
      <c r="P867" t="s">
        <v>27</v>
      </c>
      <c r="Q867" t="s">
        <v>28</v>
      </c>
      <c r="R867" s="1">
        <v>0.88</v>
      </c>
      <c r="S867" s="6">
        <f t="shared" si="451"/>
        <v>0.88</v>
      </c>
    </row>
    <row r="868" spans="1:19" ht="13.5" x14ac:dyDescent="0.25">
      <c r="A868" t="s">
        <v>1849</v>
      </c>
      <c r="B868" t="s">
        <v>1850</v>
      </c>
      <c r="C868" t="str">
        <f t="shared" si="422"/>
        <v>Casey Roberts</v>
      </c>
      <c r="D868" t="s">
        <v>43</v>
      </c>
      <c r="E868" s="3" t="str">
        <f t="shared" si="435"/>
        <v>Male</v>
      </c>
      <c r="F868" s="5">
        <v>55</v>
      </c>
      <c r="G868" t="s">
        <v>67</v>
      </c>
      <c r="H868" t="s">
        <v>68</v>
      </c>
      <c r="I868" t="s">
        <v>288</v>
      </c>
      <c r="K868" s="3" t="str" cm="1">
        <f t="array" ref="K868">_xlfn.IFS(J868&lt;=5, "0-5", J868&lt;=10, "6-10", J868&lt;=15, "11-15", J868&lt;=20, "16-20", J868&gt;20, "21+")</f>
        <v>0-5</v>
      </c>
      <c r="L868" t="s">
        <v>40</v>
      </c>
      <c r="M868" s="4" t="str">
        <f t="shared" ref="M868" si="453">_xlfn.TEXTAFTER(L868, " ")</f>
        <v>100</v>
      </c>
      <c r="N868" s="4">
        <f t="shared" si="437"/>
        <v>100</v>
      </c>
      <c r="O868" s="5">
        <v>1.2</v>
      </c>
      <c r="P868">
        <v>1</v>
      </c>
      <c r="Q868" t="s">
        <v>28</v>
      </c>
      <c r="R868" s="1">
        <v>0.69</v>
      </c>
      <c r="S868" s="6">
        <f t="shared" si="451"/>
        <v>0.69</v>
      </c>
    </row>
    <row r="869" spans="1:19" ht="13.5" x14ac:dyDescent="0.25">
      <c r="A869" t="s">
        <v>1851</v>
      </c>
      <c r="B869" t="s">
        <v>1852</v>
      </c>
      <c r="C869" t="str">
        <f t="shared" si="422"/>
        <v>Jerry Price</v>
      </c>
      <c r="D869" t="s">
        <v>32</v>
      </c>
      <c r="E869" s="3" t="str">
        <f t="shared" si="435"/>
        <v>Male</v>
      </c>
      <c r="F869" s="5">
        <v>40</v>
      </c>
      <c r="G869" t="s">
        <v>104</v>
      </c>
      <c r="H869" t="s">
        <v>105</v>
      </c>
      <c r="I869" t="s">
        <v>291</v>
      </c>
      <c r="J869" s="5">
        <v>2</v>
      </c>
      <c r="K869" s="3" t="str" cm="1">
        <f t="array" ref="K869">_xlfn.IFS(J869&lt;=5, "0-5", J869&lt;=10, "6-10", J869&lt;=15, "11-15", J869&lt;=20, "16-20", J869&gt;20, "21+")</f>
        <v>0-5</v>
      </c>
      <c r="L869">
        <v>75</v>
      </c>
      <c r="M869" s="4">
        <f>L869</f>
        <v>75</v>
      </c>
      <c r="N869" s="4">
        <f t="shared" si="437"/>
        <v>75</v>
      </c>
      <c r="O869" s="5">
        <v>4.5</v>
      </c>
      <c r="P869" t="s">
        <v>27</v>
      </c>
      <c r="Q869" t="s">
        <v>28</v>
      </c>
      <c r="S869" s="7"/>
    </row>
    <row r="870" spans="1:19" ht="13.5" x14ac:dyDescent="0.25">
      <c r="A870" t="s">
        <v>1853</v>
      </c>
      <c r="B870" t="s">
        <v>1854</v>
      </c>
      <c r="C870" t="str">
        <f t="shared" si="422"/>
        <v>Kelly Ellis</v>
      </c>
      <c r="D870" t="s">
        <v>37</v>
      </c>
      <c r="E870" s="3" t="str">
        <f t="shared" si="435"/>
        <v>Female</v>
      </c>
      <c r="F870" s="5">
        <v>56</v>
      </c>
      <c r="G870" t="s">
        <v>165</v>
      </c>
      <c r="H870" t="s">
        <v>166</v>
      </c>
      <c r="I870" t="s">
        <v>286</v>
      </c>
      <c r="J870" s="5">
        <v>35</v>
      </c>
      <c r="K870" s="3" t="str" cm="1">
        <f t="array" ref="K870">_xlfn.IFS(J870&lt;=5, "0-5", J870&lt;=10, "6-10", J870&lt;=15, "11-15", J870&lt;=20, "16-20", J870&gt;20, "21+")</f>
        <v>21+</v>
      </c>
      <c r="L870" s="2">
        <v>40</v>
      </c>
      <c r="M870" s="4" t="str">
        <f>SUBSTITUTE(L870, "$","")</f>
        <v>40</v>
      </c>
      <c r="N870" s="4">
        <f t="shared" si="437"/>
        <v>40</v>
      </c>
      <c r="O870" s="5">
        <v>2.7</v>
      </c>
      <c r="P870" t="b">
        <v>1</v>
      </c>
      <c r="Q870" t="s">
        <v>28</v>
      </c>
      <c r="R870" s="1">
        <v>0.82</v>
      </c>
      <c r="S870" s="6">
        <f t="shared" ref="S870:S873" si="454">R870</f>
        <v>0.82</v>
      </c>
    </row>
    <row r="871" spans="1:19" ht="13.5" x14ac:dyDescent="0.25">
      <c r="A871" t="s">
        <v>1855</v>
      </c>
      <c r="B871" t="s">
        <v>1856</v>
      </c>
      <c r="C871" t="str">
        <f t="shared" si="422"/>
        <v>Caleb Guerra</v>
      </c>
      <c r="D871" t="s">
        <v>311</v>
      </c>
      <c r="E871" s="3" t="str">
        <f t="shared" si="435"/>
        <v>Male</v>
      </c>
      <c r="F871" s="5">
        <v>57</v>
      </c>
      <c r="G871" t="s">
        <v>44</v>
      </c>
      <c r="H871" t="s">
        <v>24</v>
      </c>
      <c r="I871" t="s">
        <v>285</v>
      </c>
      <c r="J871" s="5">
        <v>21</v>
      </c>
      <c r="K871" s="3" t="str" cm="1">
        <f t="array" ref="K871">_xlfn.IFS(J871&lt;=5, "0-5", J871&lt;=10, "6-10", J871&lt;=15, "11-15", J871&lt;=20, "16-20", J871&gt;20, "21+")</f>
        <v>21+</v>
      </c>
      <c r="L871">
        <v>75</v>
      </c>
      <c r="M871" s="4">
        <f>L871</f>
        <v>75</v>
      </c>
      <c r="N871" s="4">
        <f t="shared" si="437"/>
        <v>75</v>
      </c>
      <c r="O871" s="5">
        <v>2</v>
      </c>
      <c r="P871" t="s">
        <v>64</v>
      </c>
      <c r="Q871" t="s">
        <v>54</v>
      </c>
      <c r="R871" s="1">
        <v>0.96</v>
      </c>
      <c r="S871" s="6">
        <f t="shared" si="454"/>
        <v>0.96</v>
      </c>
    </row>
    <row r="872" spans="1:19" ht="13.5" x14ac:dyDescent="0.25">
      <c r="A872" t="s">
        <v>1857</v>
      </c>
      <c r="B872" t="s">
        <v>1858</v>
      </c>
      <c r="C872" t="str">
        <f t="shared" si="422"/>
        <v>Samantha Norman</v>
      </c>
      <c r="D872" t="s">
        <v>301</v>
      </c>
      <c r="E872" s="3" t="str">
        <f t="shared" si="435"/>
        <v>Female</v>
      </c>
      <c r="F872" s="5">
        <v>56</v>
      </c>
      <c r="G872" t="s">
        <v>95</v>
      </c>
      <c r="H872" t="s">
        <v>96</v>
      </c>
      <c r="I872" t="s">
        <v>283</v>
      </c>
      <c r="J872" s="5">
        <v>3</v>
      </c>
      <c r="K872" s="3" t="str" cm="1">
        <f t="array" ref="K872">_xlfn.IFS(J872&lt;=5, "0-5", J872&lt;=10, "6-10", J872&lt;=15, "11-15", J872&lt;=20, "16-20", J872&gt;20, "21+")</f>
        <v>0-5</v>
      </c>
      <c r="L872" s="2">
        <v>40</v>
      </c>
      <c r="M872" s="4" t="str">
        <f t="shared" ref="M872:M874" si="455">SUBSTITUTE(L872, "$","")</f>
        <v>40</v>
      </c>
      <c r="N872" s="4">
        <f t="shared" si="437"/>
        <v>40</v>
      </c>
      <c r="O872" s="5">
        <v>1.7</v>
      </c>
      <c r="P872" t="s">
        <v>64</v>
      </c>
      <c r="Q872" t="s">
        <v>54</v>
      </c>
      <c r="R872" s="1">
        <v>0.71</v>
      </c>
      <c r="S872" s="6">
        <f t="shared" si="454"/>
        <v>0.71</v>
      </c>
    </row>
    <row r="873" spans="1:19" ht="13.5" x14ac:dyDescent="0.25">
      <c r="A873" t="s">
        <v>1859</v>
      </c>
      <c r="B873" t="s">
        <v>1860</v>
      </c>
      <c r="C873" t="str">
        <f t="shared" si="422"/>
        <v>Sarah Clarke</v>
      </c>
      <c r="D873" t="s">
        <v>37</v>
      </c>
      <c r="E873" s="3" t="str">
        <f t="shared" si="435"/>
        <v>Female</v>
      </c>
      <c r="F873" s="5">
        <v>49</v>
      </c>
      <c r="G873" t="s">
        <v>33</v>
      </c>
      <c r="H873" t="s">
        <v>34</v>
      </c>
      <c r="I873" t="s">
        <v>285</v>
      </c>
      <c r="J873" s="5">
        <v>24</v>
      </c>
      <c r="K873" s="3" t="str" cm="1">
        <f t="array" ref="K873">_xlfn.IFS(J873&lt;=5, "0-5", J873&lt;=10, "6-10", J873&lt;=15, "11-15", J873&lt;=20, "16-20", J873&gt;20, "21+")</f>
        <v>21+</v>
      </c>
      <c r="L873" s="2">
        <v>75</v>
      </c>
      <c r="M873" s="4" t="str">
        <f t="shared" si="455"/>
        <v>75</v>
      </c>
      <c r="N873" s="4">
        <f t="shared" si="437"/>
        <v>75</v>
      </c>
      <c r="O873" s="5">
        <v>3</v>
      </c>
      <c r="P873">
        <v>1</v>
      </c>
      <c r="Q873" t="s">
        <v>28</v>
      </c>
      <c r="R873" s="1">
        <v>0.77</v>
      </c>
      <c r="S873" s="6">
        <f t="shared" si="454"/>
        <v>0.77</v>
      </c>
    </row>
    <row r="874" spans="1:19" ht="13.5" x14ac:dyDescent="0.25">
      <c r="A874" t="s">
        <v>1861</v>
      </c>
      <c r="B874" t="s">
        <v>1862</v>
      </c>
      <c r="C874" t="str">
        <f t="shared" si="422"/>
        <v>Aaron Blair</v>
      </c>
      <c r="D874" t="s">
        <v>311</v>
      </c>
      <c r="E874" s="3" t="str">
        <f t="shared" si="435"/>
        <v>Male</v>
      </c>
      <c r="F874" s="5">
        <v>26</v>
      </c>
      <c r="G874" t="s">
        <v>84</v>
      </c>
      <c r="H874" t="s">
        <v>24</v>
      </c>
      <c r="I874" t="s">
        <v>292</v>
      </c>
      <c r="K874" s="3" t="str" cm="1">
        <f t="array" ref="K874">_xlfn.IFS(J874&lt;=5, "0-5", J874&lt;=10, "6-10", J874&lt;=15, "11-15", J874&lt;=20, "16-20", J874&gt;20, "21+")</f>
        <v>0-5</v>
      </c>
      <c r="L874" s="2">
        <v>75</v>
      </c>
      <c r="M874" s="4" t="str">
        <f t="shared" si="455"/>
        <v>75</v>
      </c>
      <c r="N874" s="4">
        <f t="shared" si="437"/>
        <v>75</v>
      </c>
      <c r="O874" s="5">
        <v>2.1</v>
      </c>
      <c r="P874" t="s">
        <v>27</v>
      </c>
      <c r="Q874" t="s">
        <v>28</v>
      </c>
      <c r="S874" s="7"/>
    </row>
    <row r="875" spans="1:19" ht="13.5" x14ac:dyDescent="0.25">
      <c r="A875" t="s">
        <v>1863</v>
      </c>
      <c r="B875" t="s">
        <v>1864</v>
      </c>
      <c r="C875" t="str">
        <f t="shared" ref="C875:C877" si="456">B875</f>
        <v>Courtney Burton</v>
      </c>
      <c r="D875" t="s">
        <v>22</v>
      </c>
      <c r="E875" s="3" t="str">
        <f t="shared" si="435"/>
        <v>Female</v>
      </c>
      <c r="F875" s="5">
        <v>36</v>
      </c>
      <c r="G875" t="s">
        <v>62</v>
      </c>
      <c r="H875" t="s">
        <v>63</v>
      </c>
      <c r="I875" t="s">
        <v>286</v>
      </c>
      <c r="J875" s="5">
        <v>0</v>
      </c>
      <c r="K875" s="3" t="str" cm="1">
        <f t="array" ref="K875">_xlfn.IFS(J875&lt;=5, "0-5", J875&lt;=10, "6-10", J875&lt;=15, "11-15", J875&lt;=20, "16-20", J875&gt;20, "21+")</f>
        <v>0-5</v>
      </c>
      <c r="L875">
        <v>75</v>
      </c>
      <c r="M875" s="4">
        <f>L875</f>
        <v>75</v>
      </c>
      <c r="N875" s="4">
        <f t="shared" si="437"/>
        <v>75</v>
      </c>
      <c r="O875" s="5">
        <v>1.5</v>
      </c>
      <c r="R875" s="1">
        <v>0.73</v>
      </c>
      <c r="S875" s="6">
        <f t="shared" ref="S875:S878" si="457">R875</f>
        <v>0.73</v>
      </c>
    </row>
    <row r="876" spans="1:19" ht="13.5" x14ac:dyDescent="0.25">
      <c r="A876" t="s">
        <v>1865</v>
      </c>
      <c r="B876" t="s">
        <v>1866</v>
      </c>
      <c r="C876" t="str">
        <f t="shared" si="456"/>
        <v>Gerald Taylor</v>
      </c>
      <c r="D876" t="s">
        <v>328</v>
      </c>
      <c r="E876" s="3" t="str">
        <f t="shared" si="435"/>
        <v>Male</v>
      </c>
      <c r="F876" s="5">
        <v>20</v>
      </c>
      <c r="G876" t="s">
        <v>95</v>
      </c>
      <c r="H876" t="s">
        <v>96</v>
      </c>
      <c r="I876" t="s">
        <v>290</v>
      </c>
      <c r="J876" s="5">
        <v>2</v>
      </c>
      <c r="K876" s="3" t="str" cm="1">
        <f t="array" ref="K876">_xlfn.IFS(J876&lt;=5, "0-5", J876&lt;=10, "6-10", J876&lt;=15, "11-15", J876&lt;=20, "16-20", J876&gt;20, "21+")</f>
        <v>0-5</v>
      </c>
      <c r="L876" t="s">
        <v>72</v>
      </c>
      <c r="M876" s="4" t="str">
        <f t="shared" ref="M876" si="458">_xlfn.TEXTAFTER(L876, " ")</f>
        <v>30</v>
      </c>
      <c r="N876" s="4">
        <f t="shared" si="437"/>
        <v>30</v>
      </c>
      <c r="O876" s="5">
        <v>1.7</v>
      </c>
      <c r="P876" t="b">
        <v>1</v>
      </c>
      <c r="Q876" t="s">
        <v>28</v>
      </c>
      <c r="R876" s="1">
        <v>0.6</v>
      </c>
      <c r="S876" s="6">
        <f t="shared" si="457"/>
        <v>0.6</v>
      </c>
    </row>
    <row r="877" spans="1:19" ht="13.5" x14ac:dyDescent="0.25">
      <c r="A877" t="s">
        <v>82</v>
      </c>
      <c r="B877" t="s">
        <v>83</v>
      </c>
      <c r="C877" t="str">
        <f t="shared" si="456"/>
        <v>Mary Ward</v>
      </c>
      <c r="D877" t="s">
        <v>37</v>
      </c>
      <c r="E877" s="3" t="str">
        <f t="shared" si="435"/>
        <v>Female</v>
      </c>
      <c r="F877" s="5">
        <v>40</v>
      </c>
      <c r="G877" t="s">
        <v>84</v>
      </c>
      <c r="H877" t="s">
        <v>24</v>
      </c>
      <c r="I877" t="s">
        <v>25</v>
      </c>
      <c r="K877" s="3" t="str" cm="1">
        <f t="array" ref="K877">_xlfn.IFS(J877&lt;=5, "0-5", J877&lt;=10, "6-10", J877&lt;=15, "11-15", J877&lt;=20, "16-20", J877&gt;20, "21+")</f>
        <v>0-5</v>
      </c>
      <c r="N877" s="4" t="str">
        <f t="shared" si="437"/>
        <v>NA</v>
      </c>
      <c r="O877" s="5">
        <v>1.2</v>
      </c>
      <c r="P877">
        <v>1</v>
      </c>
      <c r="Q877" t="s">
        <v>28</v>
      </c>
      <c r="R877" s="1">
        <v>0.67</v>
      </c>
      <c r="S877" s="6">
        <f t="shared" si="457"/>
        <v>0.67</v>
      </c>
    </row>
    <row r="878" spans="1:19" ht="13.5" x14ac:dyDescent="0.25">
      <c r="A878" t="s">
        <v>1867</v>
      </c>
      <c r="B878" t="s">
        <v>1868</v>
      </c>
      <c r="C878" t="str">
        <f>_xlfn.TEXTAFTER(B878,". ",)</f>
        <v>Lisa Beard DVM</v>
      </c>
      <c r="D878" t="s">
        <v>304</v>
      </c>
      <c r="E878" s="3" t="str">
        <f t="shared" si="435"/>
        <v>Female</v>
      </c>
      <c r="F878" s="5">
        <v>30</v>
      </c>
      <c r="G878" t="s">
        <v>146</v>
      </c>
      <c r="H878" t="s">
        <v>147</v>
      </c>
      <c r="I878" t="s">
        <v>285</v>
      </c>
      <c r="J878" s="5">
        <v>6</v>
      </c>
      <c r="K878" s="3" t="str" cm="1">
        <f t="array" ref="K878">_xlfn.IFS(J878&lt;=5, "0-5", J878&lt;=10, "6-10", J878&lt;=15, "11-15", J878&lt;=20, "16-20", J878&gt;20, "21+")</f>
        <v>6-10</v>
      </c>
      <c r="L878">
        <v>75</v>
      </c>
      <c r="M878" s="4">
        <f t="shared" ref="M878:M882" si="459">L878</f>
        <v>75</v>
      </c>
      <c r="N878" s="4">
        <f t="shared" si="437"/>
        <v>75</v>
      </c>
      <c r="O878" s="5">
        <v>0</v>
      </c>
      <c r="P878" t="b">
        <v>0</v>
      </c>
      <c r="Q878" t="s">
        <v>54</v>
      </c>
      <c r="R878" s="1">
        <v>0.8</v>
      </c>
      <c r="S878" s="6">
        <f t="shared" si="457"/>
        <v>0.8</v>
      </c>
    </row>
    <row r="879" spans="1:19" ht="13.5" x14ac:dyDescent="0.25">
      <c r="A879" t="s">
        <v>1869</v>
      </c>
      <c r="B879" t="s">
        <v>1870</v>
      </c>
      <c r="C879" t="str">
        <f t="shared" ref="C879:C880" si="460">B879</f>
        <v>Larry Wallace</v>
      </c>
      <c r="D879" t="s">
        <v>32</v>
      </c>
      <c r="E879" s="3" t="str">
        <f t="shared" si="435"/>
        <v>Male</v>
      </c>
      <c r="F879" s="5">
        <v>51</v>
      </c>
      <c r="G879" t="s">
        <v>38</v>
      </c>
      <c r="H879" t="s">
        <v>39</v>
      </c>
      <c r="I879" t="s">
        <v>287</v>
      </c>
      <c r="J879" s="5">
        <v>21</v>
      </c>
      <c r="K879" s="3" t="str" cm="1">
        <f t="array" ref="K879">_xlfn.IFS(J879&lt;=5, "0-5", J879&lt;=10, "6-10", J879&lt;=15, "11-15", J879&lt;=20, "16-20", J879&gt;20, "21+")</f>
        <v>21+</v>
      </c>
      <c r="L879">
        <v>20</v>
      </c>
      <c r="M879" s="4">
        <f t="shared" si="459"/>
        <v>20</v>
      </c>
      <c r="N879" s="4">
        <f t="shared" si="437"/>
        <v>20</v>
      </c>
      <c r="P879" t="s">
        <v>57</v>
      </c>
      <c r="Q879" t="s">
        <v>28</v>
      </c>
      <c r="S879" s="7"/>
    </row>
    <row r="880" spans="1:19" ht="13.5" x14ac:dyDescent="0.25">
      <c r="A880" t="s">
        <v>1871</v>
      </c>
      <c r="B880" t="s">
        <v>1872</v>
      </c>
      <c r="C880" t="str">
        <f t="shared" si="460"/>
        <v>Jeremiah Thompson</v>
      </c>
      <c r="D880" t="s">
        <v>32</v>
      </c>
      <c r="E880" s="3" t="str">
        <f t="shared" si="435"/>
        <v>Male</v>
      </c>
      <c r="F880" s="5">
        <v>46</v>
      </c>
      <c r="G880" t="s">
        <v>183</v>
      </c>
      <c r="H880" t="s">
        <v>39</v>
      </c>
      <c r="I880" t="s">
        <v>286</v>
      </c>
      <c r="J880" s="5">
        <v>24</v>
      </c>
      <c r="K880" s="3" t="str" cm="1">
        <f t="array" ref="K880">_xlfn.IFS(J880&lt;=5, "0-5", J880&lt;=10, "6-10", J880&lt;=15, "11-15", J880&lt;=20, "16-20", J880&gt;20, "21+")</f>
        <v>21+</v>
      </c>
      <c r="L880">
        <v>40</v>
      </c>
      <c r="M880" s="4">
        <f t="shared" si="459"/>
        <v>40</v>
      </c>
      <c r="N880" s="4">
        <f t="shared" si="437"/>
        <v>40</v>
      </c>
      <c r="O880" s="5">
        <v>3.3</v>
      </c>
      <c r="P880">
        <v>1</v>
      </c>
      <c r="Q880" t="s">
        <v>28</v>
      </c>
      <c r="R880" s="1">
        <v>0.87</v>
      </c>
      <c r="S880" s="6">
        <f>R880</f>
        <v>0.87</v>
      </c>
    </row>
    <row r="881" spans="1:19" ht="13.5" x14ac:dyDescent="0.25">
      <c r="A881" t="s">
        <v>79</v>
      </c>
      <c r="B881" t="s">
        <v>80</v>
      </c>
      <c r="C881" t="str">
        <f>_xlfn.TEXTAFTER(B881,". ",)</f>
        <v>Jessica Williams DVM</v>
      </c>
      <c r="D881" t="s">
        <v>21</v>
      </c>
      <c r="E881" s="3" t="str">
        <f t="shared" si="435"/>
        <v>Female</v>
      </c>
      <c r="F881" s="5">
        <v>25</v>
      </c>
      <c r="G881" t="s">
        <v>62</v>
      </c>
      <c r="H881" t="s">
        <v>63</v>
      </c>
      <c r="I881" t="s">
        <v>25</v>
      </c>
      <c r="J881" s="5">
        <v>6</v>
      </c>
      <c r="K881" s="3" t="str" cm="1">
        <f t="array" ref="K881">_xlfn.IFS(J881&lt;=5, "0-5", J881&lt;=10, "6-10", J881&lt;=15, "11-15", J881&lt;=20, "16-20", J881&gt;20, "21+")</f>
        <v>6-10</v>
      </c>
      <c r="L881">
        <v>20</v>
      </c>
      <c r="M881" s="4">
        <f t="shared" si="459"/>
        <v>20</v>
      </c>
      <c r="N881" s="4">
        <f t="shared" si="437"/>
        <v>20</v>
      </c>
      <c r="O881" s="5">
        <v>2.1</v>
      </c>
      <c r="P881" t="s">
        <v>81</v>
      </c>
      <c r="Q881" t="s">
        <v>54</v>
      </c>
      <c r="S881" s="7"/>
    </row>
    <row r="882" spans="1:19" ht="13.5" x14ac:dyDescent="0.25">
      <c r="A882" t="s">
        <v>1873</v>
      </c>
      <c r="B882" t="s">
        <v>1874</v>
      </c>
      <c r="C882" t="str">
        <f t="shared" ref="C882:C923" si="461">B882</f>
        <v>Martin Moreno</v>
      </c>
      <c r="D882" t="s">
        <v>31</v>
      </c>
      <c r="E882" s="3" t="str">
        <f t="shared" si="435"/>
        <v>Male</v>
      </c>
      <c r="F882" s="5">
        <v>53</v>
      </c>
      <c r="G882" t="s">
        <v>52</v>
      </c>
      <c r="H882" t="s">
        <v>53</v>
      </c>
      <c r="I882" t="s">
        <v>290</v>
      </c>
      <c r="J882" s="5">
        <v>32</v>
      </c>
      <c r="K882" s="3" t="str" cm="1">
        <f t="array" ref="K882">_xlfn.IFS(J882&lt;=5, "0-5", J882&lt;=10, "6-10", J882&lt;=15, "11-15", J882&lt;=20, "16-20", J882&gt;20, "21+")</f>
        <v>21+</v>
      </c>
      <c r="L882">
        <v>50</v>
      </c>
      <c r="M882" s="4">
        <f t="shared" si="459"/>
        <v>50</v>
      </c>
      <c r="N882" s="4">
        <f t="shared" si="437"/>
        <v>50</v>
      </c>
      <c r="P882">
        <v>1</v>
      </c>
      <c r="Q882" t="s">
        <v>28</v>
      </c>
      <c r="S882" s="7"/>
    </row>
    <row r="883" spans="1:19" ht="13.5" x14ac:dyDescent="0.25">
      <c r="A883" t="s">
        <v>1875</v>
      </c>
      <c r="B883" t="s">
        <v>1876</v>
      </c>
      <c r="C883" t="str">
        <f t="shared" si="461"/>
        <v>Yolanda Proctor</v>
      </c>
      <c r="D883" t="s">
        <v>21</v>
      </c>
      <c r="E883" s="3" t="str">
        <f t="shared" si="435"/>
        <v>Female</v>
      </c>
      <c r="F883" s="5">
        <v>50</v>
      </c>
      <c r="G883" t="s">
        <v>117</v>
      </c>
      <c r="H883" t="s">
        <v>118</v>
      </c>
      <c r="I883" t="s">
        <v>285</v>
      </c>
      <c r="J883" s="5">
        <v>31</v>
      </c>
      <c r="K883" s="3" t="str" cm="1">
        <f t="array" ref="K883">_xlfn.IFS(J883&lt;=5, "0-5", J883&lt;=10, "6-10", J883&lt;=15, "11-15", J883&lt;=20, "16-20", J883&gt;20, "21+")</f>
        <v>21+</v>
      </c>
      <c r="L883" t="s">
        <v>40</v>
      </c>
      <c r="M883" s="4" t="str">
        <f t="shared" ref="M883:M884" si="462">_xlfn.TEXTAFTER(L883, " ")</f>
        <v>100</v>
      </c>
      <c r="N883" s="4">
        <f t="shared" si="437"/>
        <v>100</v>
      </c>
      <c r="O883" s="5">
        <v>2.9</v>
      </c>
      <c r="P883" t="s">
        <v>57</v>
      </c>
      <c r="Q883" t="s">
        <v>28</v>
      </c>
      <c r="R883" s="1">
        <v>0.89</v>
      </c>
      <c r="S883" s="6">
        <f t="shared" ref="S883:S890" si="463">R883</f>
        <v>0.89</v>
      </c>
    </row>
    <row r="884" spans="1:19" ht="13.5" x14ac:dyDescent="0.25">
      <c r="A884" t="s">
        <v>76</v>
      </c>
      <c r="B884" t="s">
        <v>77</v>
      </c>
      <c r="C884" t="str">
        <f t="shared" si="461"/>
        <v>Allen Turner</v>
      </c>
      <c r="D884" t="s">
        <v>31</v>
      </c>
      <c r="E884" s="3" t="str">
        <f t="shared" si="435"/>
        <v>Male</v>
      </c>
      <c r="F884" s="5">
        <v>45</v>
      </c>
      <c r="G884" t="s">
        <v>62</v>
      </c>
      <c r="H884" t="s">
        <v>63</v>
      </c>
      <c r="I884" t="s">
        <v>25</v>
      </c>
      <c r="K884" s="3" t="str" cm="1">
        <f t="array" ref="K884">_xlfn.IFS(J884&lt;=5, "0-5", J884&lt;=10, "6-10", J884&lt;=15, "11-15", J884&lt;=20, "16-20", J884&gt;20, "21+")</f>
        <v>0-5</v>
      </c>
      <c r="L884" t="s">
        <v>78</v>
      </c>
      <c r="M884" s="4" t="str">
        <f t="shared" si="462"/>
        <v>20</v>
      </c>
      <c r="N884" s="4">
        <f t="shared" si="437"/>
        <v>20</v>
      </c>
      <c r="O884" s="5">
        <v>3.3</v>
      </c>
      <c r="P884" t="b">
        <v>1</v>
      </c>
      <c r="Q884" t="s">
        <v>28</v>
      </c>
      <c r="R884" s="1">
        <v>0.93</v>
      </c>
      <c r="S884" s="6">
        <f t="shared" si="463"/>
        <v>0.93</v>
      </c>
    </row>
    <row r="885" spans="1:19" ht="13.5" x14ac:dyDescent="0.25">
      <c r="A885" t="s">
        <v>1877</v>
      </c>
      <c r="B885" t="s">
        <v>1878</v>
      </c>
      <c r="C885" t="str">
        <f t="shared" si="461"/>
        <v>Beth Huff</v>
      </c>
      <c r="D885" t="s">
        <v>301</v>
      </c>
      <c r="E885" s="3" t="str">
        <f t="shared" si="435"/>
        <v>Female</v>
      </c>
      <c r="F885" s="5">
        <v>48</v>
      </c>
      <c r="G885" t="s">
        <v>125</v>
      </c>
      <c r="H885" t="s">
        <v>39</v>
      </c>
      <c r="I885" t="s">
        <v>288</v>
      </c>
      <c r="J885" s="5">
        <v>24</v>
      </c>
      <c r="K885" s="3" t="str" cm="1">
        <f t="array" ref="K885">_xlfn.IFS(J885&lt;=5, "0-5", J885&lt;=10, "6-10", J885&lt;=15, "11-15", J885&lt;=20, "16-20", J885&gt;20, "21+")</f>
        <v>21+</v>
      </c>
      <c r="L885">
        <v>100</v>
      </c>
      <c r="M885" s="4">
        <f>L885</f>
        <v>100</v>
      </c>
      <c r="N885" s="4">
        <f t="shared" si="437"/>
        <v>100</v>
      </c>
      <c r="O885" s="5">
        <v>4.8</v>
      </c>
      <c r="P885">
        <v>1</v>
      </c>
      <c r="Q885" t="s">
        <v>28</v>
      </c>
      <c r="R885" s="1">
        <v>0.84</v>
      </c>
      <c r="S885" s="6">
        <f t="shared" si="463"/>
        <v>0.84</v>
      </c>
    </row>
    <row r="886" spans="1:19" ht="13.5" x14ac:dyDescent="0.25">
      <c r="A886" t="s">
        <v>1879</v>
      </c>
      <c r="B886" t="s">
        <v>1880</v>
      </c>
      <c r="C886" t="str">
        <f t="shared" si="461"/>
        <v>John Mckinney</v>
      </c>
      <c r="D886" t="s">
        <v>311</v>
      </c>
      <c r="E886" s="3" t="str">
        <f t="shared" si="435"/>
        <v>Male</v>
      </c>
      <c r="F886" s="5">
        <v>30</v>
      </c>
      <c r="G886" t="s">
        <v>104</v>
      </c>
      <c r="H886" t="s">
        <v>105</v>
      </c>
      <c r="I886" t="s">
        <v>283</v>
      </c>
      <c r="K886" s="3" t="str" cm="1">
        <f t="array" ref="K886">_xlfn.IFS(J886&lt;=5, "0-5", J886&lt;=10, "6-10", J886&lt;=15, "11-15", J886&lt;=20, "16-20", J886&gt;20, "21+")</f>
        <v>0-5</v>
      </c>
      <c r="L886" s="2">
        <v>100</v>
      </c>
      <c r="M886" s="4" t="str">
        <f t="shared" ref="M886:M887" si="464">SUBSTITUTE(L886, "$","")</f>
        <v>100</v>
      </c>
      <c r="N886" s="4">
        <f t="shared" si="437"/>
        <v>100</v>
      </c>
      <c r="O886" s="5">
        <v>4.5</v>
      </c>
      <c r="R886" s="1">
        <v>0.78</v>
      </c>
      <c r="S886" s="6">
        <f t="shared" si="463"/>
        <v>0.78</v>
      </c>
    </row>
    <row r="887" spans="1:19" ht="13.5" x14ac:dyDescent="0.25">
      <c r="A887" t="s">
        <v>1881</v>
      </c>
      <c r="B887" t="s">
        <v>262</v>
      </c>
      <c r="C887" t="str">
        <f t="shared" si="461"/>
        <v>Sarah Ho</v>
      </c>
      <c r="D887" t="s">
        <v>301</v>
      </c>
      <c r="E887" s="3" t="str">
        <f t="shared" si="435"/>
        <v>Female</v>
      </c>
      <c r="F887" s="5">
        <v>33</v>
      </c>
      <c r="G887" t="s">
        <v>52</v>
      </c>
      <c r="H887" t="s">
        <v>53</v>
      </c>
      <c r="I887" t="s">
        <v>286</v>
      </c>
      <c r="J887" s="5">
        <v>6</v>
      </c>
      <c r="K887" s="3" t="str" cm="1">
        <f t="array" ref="K887">_xlfn.IFS(J887&lt;=5, "0-5", J887&lt;=10, "6-10", J887&lt;=15, "11-15", J887&lt;=20, "16-20", J887&gt;20, "21+")</f>
        <v>6-10</v>
      </c>
      <c r="L887" s="2">
        <v>50</v>
      </c>
      <c r="M887" s="4" t="str">
        <f t="shared" si="464"/>
        <v>50</v>
      </c>
      <c r="N887" s="4">
        <f t="shared" si="437"/>
        <v>50</v>
      </c>
      <c r="O887" s="5">
        <v>3.1</v>
      </c>
      <c r="P887" t="s">
        <v>81</v>
      </c>
      <c r="Q887" t="s">
        <v>54</v>
      </c>
      <c r="R887" s="1">
        <v>0.9</v>
      </c>
      <c r="S887" s="6">
        <f t="shared" si="463"/>
        <v>0.9</v>
      </c>
    </row>
    <row r="888" spans="1:19" ht="13.5" x14ac:dyDescent="0.25">
      <c r="A888" t="s">
        <v>1882</v>
      </c>
      <c r="B888" t="s">
        <v>1883</v>
      </c>
      <c r="C888" t="str">
        <f t="shared" si="461"/>
        <v>Lindsey Wang</v>
      </c>
      <c r="D888" t="s">
        <v>301</v>
      </c>
      <c r="E888" s="3" t="str">
        <f t="shared" si="435"/>
        <v>Female</v>
      </c>
      <c r="F888" s="5">
        <v>50</v>
      </c>
      <c r="G888" t="s">
        <v>152</v>
      </c>
      <c r="H888" t="s">
        <v>39</v>
      </c>
      <c r="I888" t="s">
        <v>283</v>
      </c>
      <c r="J888" s="5">
        <v>11</v>
      </c>
      <c r="K888" s="3" t="str" cm="1">
        <f t="array" ref="K888">_xlfn.IFS(J888&lt;=5, "0-5", J888&lt;=10, "6-10", J888&lt;=15, "11-15", J888&lt;=20, "16-20", J888&gt;20, "21+")</f>
        <v>11-15</v>
      </c>
      <c r="N888" s="4" t="str">
        <f t="shared" si="437"/>
        <v>NA</v>
      </c>
      <c r="O888" s="5">
        <v>4.9000000000000004</v>
      </c>
      <c r="P888">
        <v>1</v>
      </c>
      <c r="Q888" t="s">
        <v>28</v>
      </c>
      <c r="R888" s="1">
        <v>0.88</v>
      </c>
      <c r="S888" s="6">
        <f t="shared" si="463"/>
        <v>0.88</v>
      </c>
    </row>
    <row r="889" spans="1:19" ht="13.5" x14ac:dyDescent="0.25">
      <c r="A889" t="s">
        <v>1884</v>
      </c>
      <c r="B889" t="s">
        <v>1885</v>
      </c>
      <c r="C889" t="str">
        <f t="shared" si="461"/>
        <v>Margaret Schwartz</v>
      </c>
      <c r="D889" t="s">
        <v>22</v>
      </c>
      <c r="E889" s="3" t="str">
        <f t="shared" si="435"/>
        <v>Female</v>
      </c>
      <c r="F889" s="5">
        <v>24</v>
      </c>
      <c r="G889" t="s">
        <v>104</v>
      </c>
      <c r="H889" t="s">
        <v>105</v>
      </c>
      <c r="I889" t="s">
        <v>291</v>
      </c>
      <c r="K889" s="3" t="str" cm="1">
        <f t="array" ref="K889">_xlfn.IFS(J889&lt;=5, "0-5", J889&lt;=10, "6-10", J889&lt;=15, "11-15", J889&lt;=20, "16-20", J889&gt;20, "21+")</f>
        <v>0-5</v>
      </c>
      <c r="L889" s="2">
        <v>20</v>
      </c>
      <c r="M889" s="4" t="str">
        <f>SUBSTITUTE(L889, "$","")</f>
        <v>20</v>
      </c>
      <c r="N889" s="4">
        <f t="shared" si="437"/>
        <v>20</v>
      </c>
      <c r="O889" s="5">
        <v>0</v>
      </c>
      <c r="P889">
        <v>0</v>
      </c>
      <c r="Q889" t="s">
        <v>54</v>
      </c>
      <c r="R889" s="1">
        <v>0.76</v>
      </c>
      <c r="S889" s="6">
        <f t="shared" si="463"/>
        <v>0.76</v>
      </c>
    </row>
    <row r="890" spans="1:19" ht="13.5" x14ac:dyDescent="0.25">
      <c r="A890" t="s">
        <v>1886</v>
      </c>
      <c r="B890" t="s">
        <v>1887</v>
      </c>
      <c r="C890" t="str">
        <f t="shared" si="461"/>
        <v>Kyle Ray</v>
      </c>
      <c r="D890" t="s">
        <v>31</v>
      </c>
      <c r="E890" s="3" t="str">
        <f t="shared" si="435"/>
        <v>Male</v>
      </c>
      <c r="F890" s="5">
        <v>38</v>
      </c>
      <c r="G890" t="s">
        <v>253</v>
      </c>
      <c r="H890" t="s">
        <v>254</v>
      </c>
      <c r="I890" t="s">
        <v>290</v>
      </c>
      <c r="J890" s="5">
        <v>14</v>
      </c>
      <c r="K890" s="3" t="str" cm="1">
        <f t="array" ref="K890">_xlfn.IFS(J890&lt;=5, "0-5", J890&lt;=10, "6-10", J890&lt;=15, "11-15", J890&lt;=20, "16-20", J890&gt;20, "21+")</f>
        <v>11-15</v>
      </c>
      <c r="L890">
        <v>75</v>
      </c>
      <c r="M890" s="4">
        <f>L890</f>
        <v>75</v>
      </c>
      <c r="N890" s="4">
        <f t="shared" si="437"/>
        <v>75</v>
      </c>
      <c r="O890" s="5">
        <v>1.5</v>
      </c>
      <c r="P890" t="s">
        <v>64</v>
      </c>
      <c r="Q890" t="s">
        <v>54</v>
      </c>
      <c r="R890" s="1">
        <v>0.62</v>
      </c>
      <c r="S890" s="6">
        <f t="shared" si="463"/>
        <v>0.62</v>
      </c>
    </row>
    <row r="891" spans="1:19" ht="13.5" x14ac:dyDescent="0.25">
      <c r="A891" t="s">
        <v>1888</v>
      </c>
      <c r="B891" t="s">
        <v>1889</v>
      </c>
      <c r="C891" t="str">
        <f t="shared" si="461"/>
        <v>Isaac Hebert</v>
      </c>
      <c r="D891" t="s">
        <v>311</v>
      </c>
      <c r="E891" s="3" t="str">
        <f t="shared" si="435"/>
        <v>Male</v>
      </c>
      <c r="F891" s="5">
        <v>56</v>
      </c>
      <c r="G891" t="s">
        <v>88</v>
      </c>
      <c r="H891" t="s">
        <v>89</v>
      </c>
      <c r="I891" t="s">
        <v>283</v>
      </c>
      <c r="J891" s="5">
        <v>2</v>
      </c>
      <c r="K891" s="3" t="str" cm="1">
        <f t="array" ref="K891">_xlfn.IFS(J891&lt;=5, "0-5", J891&lt;=10, "6-10", J891&lt;=15, "11-15", J891&lt;=20, "16-20", J891&gt;20, "21+")</f>
        <v>0-5</v>
      </c>
      <c r="L891" s="2">
        <v>75</v>
      </c>
      <c r="M891" s="4" t="str">
        <f>SUBSTITUTE(L891, "$","")</f>
        <v>75</v>
      </c>
      <c r="N891" s="4">
        <f t="shared" si="437"/>
        <v>75</v>
      </c>
      <c r="O891" s="5">
        <v>2.4</v>
      </c>
      <c r="P891" t="s">
        <v>64</v>
      </c>
      <c r="Q891" t="s">
        <v>54</v>
      </c>
      <c r="S891" s="7"/>
    </row>
    <row r="892" spans="1:19" ht="13.5" x14ac:dyDescent="0.25">
      <c r="A892" t="s">
        <v>1890</v>
      </c>
      <c r="B892" t="s">
        <v>1891</v>
      </c>
      <c r="C892" t="str">
        <f t="shared" si="461"/>
        <v>Michele Jones</v>
      </c>
      <c r="D892" t="s">
        <v>37</v>
      </c>
      <c r="E892" s="3" t="str">
        <f t="shared" si="435"/>
        <v>Female</v>
      </c>
      <c r="F892" s="5">
        <v>41</v>
      </c>
      <c r="G892" t="s">
        <v>95</v>
      </c>
      <c r="H892" t="s">
        <v>96</v>
      </c>
      <c r="I892" t="s">
        <v>283</v>
      </c>
      <c r="J892" s="5">
        <v>2</v>
      </c>
      <c r="K892" s="3" t="str" cm="1">
        <f t="array" ref="K892">_xlfn.IFS(J892&lt;=5, "0-5", J892&lt;=10, "6-10", J892&lt;=15, "11-15", J892&lt;=20, "16-20", J892&gt;20, "21+")</f>
        <v>0-5</v>
      </c>
      <c r="L892" t="s">
        <v>40</v>
      </c>
      <c r="M892" s="4" t="str">
        <f t="shared" ref="M892:M893" si="465">_xlfn.TEXTAFTER(L892, " ")</f>
        <v>100</v>
      </c>
      <c r="N892" s="4">
        <f t="shared" si="437"/>
        <v>100</v>
      </c>
      <c r="O892" s="5">
        <v>4.5</v>
      </c>
      <c r="P892" t="s">
        <v>64</v>
      </c>
      <c r="Q892" t="s">
        <v>54</v>
      </c>
      <c r="R892">
        <v>75</v>
      </c>
      <c r="S892" s="6">
        <f t="shared" ref="S892:S893" si="466">R892/100</f>
        <v>0.75</v>
      </c>
    </row>
    <row r="893" spans="1:19" ht="13.5" x14ac:dyDescent="0.25">
      <c r="A893" t="s">
        <v>1892</v>
      </c>
      <c r="B893" t="s">
        <v>1893</v>
      </c>
      <c r="C893" t="str">
        <f t="shared" si="461"/>
        <v>Austin Allen</v>
      </c>
      <c r="D893" t="s">
        <v>32</v>
      </c>
      <c r="E893" s="3" t="str">
        <f t="shared" si="435"/>
        <v>Male</v>
      </c>
      <c r="G893" t="s">
        <v>253</v>
      </c>
      <c r="H893" t="s">
        <v>254</v>
      </c>
      <c r="I893" t="s">
        <v>286</v>
      </c>
      <c r="J893" s="5">
        <v>11</v>
      </c>
      <c r="K893" s="3" t="str" cm="1">
        <f t="array" ref="K893">_xlfn.IFS(J893&lt;=5, "0-5", J893&lt;=10, "6-10", J893&lt;=15, "11-15", J893&lt;=20, "16-20", J893&gt;20, "21+")</f>
        <v>11-15</v>
      </c>
      <c r="L893" t="s">
        <v>40</v>
      </c>
      <c r="M893" s="4" t="str">
        <f t="shared" si="465"/>
        <v>100</v>
      </c>
      <c r="N893" s="4">
        <f t="shared" si="437"/>
        <v>100</v>
      </c>
      <c r="O893" s="5">
        <v>2.5</v>
      </c>
      <c r="P893" t="s">
        <v>27</v>
      </c>
      <c r="Q893" t="s">
        <v>28</v>
      </c>
      <c r="R893">
        <v>80</v>
      </c>
      <c r="S893" s="6">
        <f t="shared" si="466"/>
        <v>0.8</v>
      </c>
    </row>
    <row r="894" spans="1:19" ht="13.5" x14ac:dyDescent="0.25">
      <c r="A894" t="s">
        <v>1894</v>
      </c>
      <c r="B894" t="s">
        <v>1895</v>
      </c>
      <c r="C894" t="str">
        <f t="shared" si="461"/>
        <v>Haley Castro</v>
      </c>
      <c r="D894" t="s">
        <v>37</v>
      </c>
      <c r="E894" s="3" t="str">
        <f t="shared" si="435"/>
        <v>Female</v>
      </c>
      <c r="F894" s="5">
        <v>42</v>
      </c>
      <c r="G894" t="s">
        <v>33</v>
      </c>
      <c r="H894" t="s">
        <v>34</v>
      </c>
      <c r="I894" t="s">
        <v>287</v>
      </c>
      <c r="J894" s="5">
        <v>13</v>
      </c>
      <c r="K894" s="3" t="str" cm="1">
        <f t="array" ref="K894">_xlfn.IFS(J894&lt;=5, "0-5", J894&lt;=10, "6-10", J894&lt;=15, "11-15", J894&lt;=20, "16-20", J894&gt;20, "21+")</f>
        <v>11-15</v>
      </c>
      <c r="L894">
        <v>30</v>
      </c>
      <c r="M894" s="4">
        <f t="shared" ref="M894:M896" si="467">L894</f>
        <v>30</v>
      </c>
      <c r="N894" s="4">
        <f t="shared" si="437"/>
        <v>30</v>
      </c>
      <c r="O894" s="5">
        <v>3.3</v>
      </c>
      <c r="R894" s="1">
        <v>0.63</v>
      </c>
      <c r="S894" s="6">
        <f t="shared" ref="S894:S895" si="468">R894</f>
        <v>0.63</v>
      </c>
    </row>
    <row r="895" spans="1:19" ht="13.5" x14ac:dyDescent="0.25">
      <c r="A895" t="s">
        <v>1896</v>
      </c>
      <c r="B895" t="s">
        <v>1897</v>
      </c>
      <c r="C895" t="str">
        <f t="shared" si="461"/>
        <v>David Armstrong</v>
      </c>
      <c r="D895" t="s">
        <v>32</v>
      </c>
      <c r="E895" s="3" t="str">
        <f t="shared" si="435"/>
        <v>Male</v>
      </c>
      <c r="F895" s="5">
        <v>26</v>
      </c>
      <c r="G895" t="s">
        <v>146</v>
      </c>
      <c r="H895" t="s">
        <v>147</v>
      </c>
      <c r="I895" t="s">
        <v>292</v>
      </c>
      <c r="J895" s="5">
        <v>7</v>
      </c>
      <c r="K895" s="3" t="str" cm="1">
        <f t="array" ref="K895">_xlfn.IFS(J895&lt;=5, "0-5", J895&lt;=10, "6-10", J895&lt;=15, "11-15", J895&lt;=20, "16-20", J895&gt;20, "21+")</f>
        <v>6-10</v>
      </c>
      <c r="L895">
        <v>75</v>
      </c>
      <c r="M895" s="4">
        <f t="shared" si="467"/>
        <v>75</v>
      </c>
      <c r="N895" s="4">
        <f t="shared" si="437"/>
        <v>75</v>
      </c>
      <c r="O895" s="5">
        <v>3</v>
      </c>
      <c r="R895" s="1">
        <v>0.84</v>
      </c>
      <c r="S895" s="6">
        <f t="shared" si="468"/>
        <v>0.84</v>
      </c>
    </row>
    <row r="896" spans="1:19" ht="13.5" x14ac:dyDescent="0.25">
      <c r="A896" t="s">
        <v>1898</v>
      </c>
      <c r="B896" t="s">
        <v>1899</v>
      </c>
      <c r="C896" t="str">
        <f t="shared" si="461"/>
        <v>Wendy Mitchell</v>
      </c>
      <c r="D896" t="s">
        <v>37</v>
      </c>
      <c r="E896" s="3" t="str">
        <f t="shared" si="435"/>
        <v>Female</v>
      </c>
      <c r="F896" s="5">
        <v>44</v>
      </c>
      <c r="G896" t="s">
        <v>125</v>
      </c>
      <c r="H896" t="s">
        <v>39</v>
      </c>
      <c r="I896" t="s">
        <v>288</v>
      </c>
      <c r="J896" s="5">
        <v>25</v>
      </c>
      <c r="K896" s="3" t="str" cm="1">
        <f t="array" ref="K896">_xlfn.IFS(J896&lt;=5, "0-5", J896&lt;=10, "6-10", J896&lt;=15, "11-15", J896&lt;=20, "16-20", J896&gt;20, "21+")</f>
        <v>21+</v>
      </c>
      <c r="L896">
        <v>75</v>
      </c>
      <c r="M896" s="4">
        <f t="shared" si="467"/>
        <v>75</v>
      </c>
      <c r="N896" s="4">
        <f t="shared" si="437"/>
        <v>75</v>
      </c>
      <c r="O896" s="5">
        <v>2.7</v>
      </c>
      <c r="P896">
        <v>1</v>
      </c>
      <c r="Q896" t="s">
        <v>28</v>
      </c>
      <c r="R896">
        <v>78</v>
      </c>
      <c r="S896" s="6">
        <f>R896/100</f>
        <v>0.78</v>
      </c>
    </row>
    <row r="897" spans="1:19" ht="13.5" x14ac:dyDescent="0.25">
      <c r="A897" t="s">
        <v>1900</v>
      </c>
      <c r="B897" t="s">
        <v>1901</v>
      </c>
      <c r="C897" t="str">
        <f t="shared" si="461"/>
        <v>Anthony Hernandez</v>
      </c>
      <c r="D897" t="s">
        <v>311</v>
      </c>
      <c r="E897" s="3" t="str">
        <f t="shared" si="435"/>
        <v>Male</v>
      </c>
      <c r="F897" s="5">
        <v>46</v>
      </c>
      <c r="G897" t="s">
        <v>125</v>
      </c>
      <c r="H897" t="s">
        <v>39</v>
      </c>
      <c r="I897" t="s">
        <v>287</v>
      </c>
      <c r="J897" s="5">
        <v>20</v>
      </c>
      <c r="K897" s="3" t="str" cm="1">
        <f t="array" ref="K897">_xlfn.IFS(J897&lt;=5, "0-5", J897&lt;=10, "6-10", J897&lt;=15, "11-15", J897&lt;=20, "16-20", J897&gt;20, "21+")</f>
        <v>16-20</v>
      </c>
      <c r="L897" s="2">
        <v>20</v>
      </c>
      <c r="M897" s="4" t="str">
        <f>SUBSTITUTE(L897, "$","")</f>
        <v>20</v>
      </c>
      <c r="N897" s="4">
        <f t="shared" si="437"/>
        <v>20</v>
      </c>
      <c r="O897" s="5">
        <v>1.2</v>
      </c>
      <c r="P897" t="b">
        <v>0</v>
      </c>
      <c r="Q897" t="s">
        <v>54</v>
      </c>
      <c r="R897" s="1">
        <v>0.74</v>
      </c>
      <c r="S897" s="6">
        <f t="shared" ref="S897:S898" si="469">R897</f>
        <v>0.74</v>
      </c>
    </row>
    <row r="898" spans="1:19" ht="13.5" x14ac:dyDescent="0.25">
      <c r="A898" t="s">
        <v>1902</v>
      </c>
      <c r="B898" t="s">
        <v>1903</v>
      </c>
      <c r="C898" t="str">
        <f t="shared" si="461"/>
        <v>Erica Johnson</v>
      </c>
      <c r="D898" t="s">
        <v>304</v>
      </c>
      <c r="E898" s="3" t="str">
        <f t="shared" si="435"/>
        <v>Female</v>
      </c>
      <c r="F898" s="5">
        <v>36</v>
      </c>
      <c r="G898" t="s">
        <v>183</v>
      </c>
      <c r="H898" t="s">
        <v>39</v>
      </c>
      <c r="I898" t="s">
        <v>286</v>
      </c>
      <c r="J898" s="5">
        <v>8</v>
      </c>
      <c r="K898" s="3" t="str" cm="1">
        <f t="array" ref="K898">_xlfn.IFS(J898&lt;=5, "0-5", J898&lt;=10, "6-10", J898&lt;=15, "11-15", J898&lt;=20, "16-20", J898&gt;20, "21+")</f>
        <v>6-10</v>
      </c>
      <c r="L898">
        <v>50</v>
      </c>
      <c r="M898" s="4">
        <f>L898</f>
        <v>50</v>
      </c>
      <c r="N898" s="4">
        <f t="shared" si="437"/>
        <v>50</v>
      </c>
      <c r="O898" s="5">
        <v>4.3</v>
      </c>
      <c r="P898">
        <v>0</v>
      </c>
      <c r="Q898" t="s">
        <v>54</v>
      </c>
      <c r="R898" s="1">
        <v>0.9</v>
      </c>
      <c r="S898" s="6">
        <f t="shared" si="469"/>
        <v>0.9</v>
      </c>
    </row>
    <row r="899" spans="1:19" ht="13.5" x14ac:dyDescent="0.25">
      <c r="A899" t="s">
        <v>73</v>
      </c>
      <c r="B899" t="s">
        <v>74</v>
      </c>
      <c r="C899" t="str">
        <f t="shared" si="461"/>
        <v>Randall Barrett</v>
      </c>
      <c r="D899" t="s">
        <v>32</v>
      </c>
      <c r="E899" s="3" t="str">
        <f t="shared" ref="E899:E962" si="470">IF(LOWER(LEFT(D899,1)) = "f", "Female", "Male")</f>
        <v>Male</v>
      </c>
      <c r="F899" s="5">
        <v>26</v>
      </c>
      <c r="G899" t="s">
        <v>52</v>
      </c>
      <c r="H899" t="s">
        <v>53</v>
      </c>
      <c r="I899" t="s">
        <v>25</v>
      </c>
      <c r="J899" s="5">
        <v>6</v>
      </c>
      <c r="K899" s="3" t="str" cm="1">
        <f t="array" ref="K899">_xlfn.IFS(J899&lt;=5, "0-5", J899&lt;=10, "6-10", J899&lt;=15, "11-15", J899&lt;=20, "16-20", J899&gt;20, "21+")</f>
        <v>6-10</v>
      </c>
      <c r="L899" s="2">
        <v>40</v>
      </c>
      <c r="M899" s="4" t="str">
        <f>SUBSTITUTE(L899, "$","")</f>
        <v>40</v>
      </c>
      <c r="N899" s="4">
        <f t="shared" ref="N899:N962" si="471">IF(M899="","NA",ROUND(M899,0))</f>
        <v>40</v>
      </c>
      <c r="O899" s="5">
        <v>1.3</v>
      </c>
      <c r="P899">
        <v>0</v>
      </c>
      <c r="Q899" t="s">
        <v>54</v>
      </c>
      <c r="S899" s="7"/>
    </row>
    <row r="900" spans="1:19" ht="13.5" x14ac:dyDescent="0.25">
      <c r="A900" t="s">
        <v>1904</v>
      </c>
      <c r="B900" t="s">
        <v>1905</v>
      </c>
      <c r="C900" t="str">
        <f t="shared" si="461"/>
        <v>Nathan Huff</v>
      </c>
      <c r="D900" t="s">
        <v>31</v>
      </c>
      <c r="E900" s="3" t="str">
        <f t="shared" si="470"/>
        <v>Male</v>
      </c>
      <c r="F900" s="5">
        <v>21</v>
      </c>
      <c r="G900" t="s">
        <v>33</v>
      </c>
      <c r="H900" t="s">
        <v>34</v>
      </c>
      <c r="I900" t="s">
        <v>286</v>
      </c>
      <c r="J900" s="5">
        <v>3</v>
      </c>
      <c r="K900" s="3" t="str" cm="1">
        <f t="array" ref="K900">_xlfn.IFS(J900&lt;=5, "0-5", J900&lt;=10, "6-10", J900&lt;=15, "11-15", J900&lt;=20, "16-20", J900&gt;20, "21+")</f>
        <v>0-5</v>
      </c>
      <c r="L900">
        <v>50</v>
      </c>
      <c r="M900" s="4">
        <f t="shared" ref="M900:M903" si="472">L900</f>
        <v>50</v>
      </c>
      <c r="N900" s="4">
        <f t="shared" si="471"/>
        <v>50</v>
      </c>
      <c r="O900" s="5">
        <v>4.5999999999999996</v>
      </c>
      <c r="P900" t="s">
        <v>57</v>
      </c>
      <c r="Q900" t="s">
        <v>28</v>
      </c>
      <c r="S900" s="7"/>
    </row>
    <row r="901" spans="1:19" ht="13.5" x14ac:dyDescent="0.25">
      <c r="A901" t="s">
        <v>1906</v>
      </c>
      <c r="B901" t="s">
        <v>1907</v>
      </c>
      <c r="C901" t="str">
        <f t="shared" si="461"/>
        <v>Robin Walsh</v>
      </c>
      <c r="D901" t="s">
        <v>37</v>
      </c>
      <c r="E901" s="3" t="str">
        <f t="shared" si="470"/>
        <v>Female</v>
      </c>
      <c r="F901" s="5">
        <v>39</v>
      </c>
      <c r="G901" t="s">
        <v>104</v>
      </c>
      <c r="H901" t="s">
        <v>105</v>
      </c>
      <c r="I901" t="s">
        <v>286</v>
      </c>
      <c r="J901" s="5">
        <v>18</v>
      </c>
      <c r="K901" s="3" t="str" cm="1">
        <f t="array" ref="K901">_xlfn.IFS(J901&lt;=5, "0-5", J901&lt;=10, "6-10", J901&lt;=15, "11-15", J901&lt;=20, "16-20", J901&gt;20, "21+")</f>
        <v>16-20</v>
      </c>
      <c r="L901">
        <v>50</v>
      </c>
      <c r="M901" s="4">
        <f t="shared" si="472"/>
        <v>50</v>
      </c>
      <c r="N901" s="4">
        <f t="shared" si="471"/>
        <v>50</v>
      </c>
      <c r="O901" s="5">
        <v>2.1</v>
      </c>
      <c r="P901">
        <v>0</v>
      </c>
      <c r="Q901" t="s">
        <v>54</v>
      </c>
      <c r="R901">
        <v>75</v>
      </c>
      <c r="S901" s="6">
        <f>R901/100</f>
        <v>0.75</v>
      </c>
    </row>
    <row r="902" spans="1:19" ht="13.5" x14ac:dyDescent="0.25">
      <c r="A902" t="s">
        <v>1908</v>
      </c>
      <c r="B902" t="s">
        <v>1909</v>
      </c>
      <c r="C902" t="str">
        <f t="shared" si="461"/>
        <v>Yvonne Robinson</v>
      </c>
      <c r="D902" t="s">
        <v>22</v>
      </c>
      <c r="E902" s="3" t="str">
        <f t="shared" si="470"/>
        <v>Female</v>
      </c>
      <c r="F902" s="5">
        <v>37</v>
      </c>
      <c r="G902" t="s">
        <v>183</v>
      </c>
      <c r="H902" t="s">
        <v>39</v>
      </c>
      <c r="I902" t="s">
        <v>292</v>
      </c>
      <c r="J902" s="5">
        <v>18</v>
      </c>
      <c r="K902" s="3" t="str" cm="1">
        <f t="array" ref="K902">_xlfn.IFS(J902&lt;=5, "0-5", J902&lt;=10, "6-10", J902&lt;=15, "11-15", J902&lt;=20, "16-20", J902&gt;20, "21+")</f>
        <v>16-20</v>
      </c>
      <c r="L902">
        <v>40</v>
      </c>
      <c r="M902" s="4">
        <f t="shared" si="472"/>
        <v>40</v>
      </c>
      <c r="N902" s="4">
        <f t="shared" si="471"/>
        <v>40</v>
      </c>
      <c r="O902" s="5">
        <v>4.5</v>
      </c>
      <c r="P902" t="s">
        <v>81</v>
      </c>
      <c r="Q902" t="s">
        <v>54</v>
      </c>
      <c r="R902" s="1">
        <v>0.72</v>
      </c>
      <c r="S902" s="6">
        <f t="shared" ref="S902:S903" si="473">R902</f>
        <v>0.72</v>
      </c>
    </row>
    <row r="903" spans="1:19" ht="13.5" x14ac:dyDescent="0.25">
      <c r="A903" t="s">
        <v>1910</v>
      </c>
      <c r="B903" t="s">
        <v>1911</v>
      </c>
      <c r="C903" t="str">
        <f t="shared" si="461"/>
        <v>Kathleen Hendrix</v>
      </c>
      <c r="D903" t="s">
        <v>22</v>
      </c>
      <c r="E903" s="3" t="str">
        <f t="shared" si="470"/>
        <v>Female</v>
      </c>
      <c r="F903" s="5">
        <v>47</v>
      </c>
      <c r="G903" t="s">
        <v>95</v>
      </c>
      <c r="H903" t="s">
        <v>96</v>
      </c>
      <c r="I903" t="s">
        <v>286</v>
      </c>
      <c r="J903" s="5">
        <v>3</v>
      </c>
      <c r="K903" s="3" t="str" cm="1">
        <f t="array" ref="K903">_xlfn.IFS(J903&lt;=5, "0-5", J903&lt;=10, "6-10", J903&lt;=15, "11-15", J903&lt;=20, "16-20", J903&gt;20, "21+")</f>
        <v>0-5</v>
      </c>
      <c r="L903">
        <v>40</v>
      </c>
      <c r="M903" s="4">
        <f t="shared" si="472"/>
        <v>40</v>
      </c>
      <c r="N903" s="4">
        <f t="shared" si="471"/>
        <v>40</v>
      </c>
      <c r="O903" s="5">
        <v>4.4000000000000004</v>
      </c>
      <c r="P903" t="s">
        <v>27</v>
      </c>
      <c r="Q903" t="s">
        <v>28</v>
      </c>
      <c r="R903" s="1">
        <v>0.92</v>
      </c>
      <c r="S903" s="6">
        <f t="shared" si="473"/>
        <v>0.92</v>
      </c>
    </row>
    <row r="904" spans="1:19" ht="13.5" x14ac:dyDescent="0.25">
      <c r="A904" t="s">
        <v>1912</v>
      </c>
      <c r="B904" t="s">
        <v>1913</v>
      </c>
      <c r="C904" t="str">
        <f t="shared" si="461"/>
        <v>Jennifer Baker</v>
      </c>
      <c r="D904" t="s">
        <v>21</v>
      </c>
      <c r="E904" s="3" t="str">
        <f t="shared" si="470"/>
        <v>Female</v>
      </c>
      <c r="F904" s="5">
        <v>53</v>
      </c>
      <c r="G904" t="s">
        <v>95</v>
      </c>
      <c r="H904" t="s">
        <v>96</v>
      </c>
      <c r="I904" t="s">
        <v>287</v>
      </c>
      <c r="J904" s="5">
        <v>32</v>
      </c>
      <c r="K904" s="3" t="str" cm="1">
        <f t="array" ref="K904">_xlfn.IFS(J904&lt;=5, "0-5", J904&lt;=10, "6-10", J904&lt;=15, "11-15", J904&lt;=20, "16-20", J904&gt;20, "21+")</f>
        <v>21+</v>
      </c>
      <c r="L904" t="s">
        <v>78</v>
      </c>
      <c r="M904" s="4" t="str">
        <f t="shared" ref="M904:M905" si="474">_xlfn.TEXTAFTER(L904, " ")</f>
        <v>20</v>
      </c>
      <c r="N904" s="4">
        <f t="shared" si="471"/>
        <v>20</v>
      </c>
      <c r="O904" s="5">
        <v>0</v>
      </c>
      <c r="P904" t="s">
        <v>64</v>
      </c>
      <c r="Q904" t="s">
        <v>54</v>
      </c>
      <c r="S904" s="7"/>
    </row>
    <row r="905" spans="1:19" ht="13.5" x14ac:dyDescent="0.25">
      <c r="A905" t="s">
        <v>1914</v>
      </c>
      <c r="B905" t="s">
        <v>1915</v>
      </c>
      <c r="C905" t="str">
        <f t="shared" si="461"/>
        <v>Kim Martinez</v>
      </c>
      <c r="D905" t="s">
        <v>304</v>
      </c>
      <c r="E905" s="3" t="str">
        <f t="shared" si="470"/>
        <v>Female</v>
      </c>
      <c r="F905" s="5">
        <v>53</v>
      </c>
      <c r="G905" t="s">
        <v>23</v>
      </c>
      <c r="H905" t="s">
        <v>24</v>
      </c>
      <c r="I905" t="s">
        <v>285</v>
      </c>
      <c r="J905" s="5">
        <v>19</v>
      </c>
      <c r="K905" s="3" t="str" cm="1">
        <f t="array" ref="K905">_xlfn.IFS(J905&lt;=5, "0-5", J905&lt;=10, "6-10", J905&lt;=15, "11-15", J905&lt;=20, "16-20", J905&gt;20, "21+")</f>
        <v>16-20</v>
      </c>
      <c r="L905" t="s">
        <v>78</v>
      </c>
      <c r="M905" s="4" t="str">
        <f t="shared" si="474"/>
        <v>20</v>
      </c>
      <c r="N905" s="4">
        <f t="shared" si="471"/>
        <v>20</v>
      </c>
      <c r="O905" s="5">
        <v>1.3</v>
      </c>
      <c r="P905">
        <v>0</v>
      </c>
      <c r="Q905" t="s">
        <v>54</v>
      </c>
      <c r="S905" s="7"/>
    </row>
    <row r="906" spans="1:19" ht="13.5" x14ac:dyDescent="0.25">
      <c r="A906" t="s">
        <v>1916</v>
      </c>
      <c r="B906" t="s">
        <v>1917</v>
      </c>
      <c r="C906" t="str">
        <f t="shared" si="461"/>
        <v>Andrew Little</v>
      </c>
      <c r="D906" t="s">
        <v>31</v>
      </c>
      <c r="E906" s="3" t="str">
        <f t="shared" si="470"/>
        <v>Male</v>
      </c>
      <c r="F906" s="5">
        <v>21</v>
      </c>
      <c r="G906" t="s">
        <v>146</v>
      </c>
      <c r="H906" t="s">
        <v>147</v>
      </c>
      <c r="I906" t="s">
        <v>291</v>
      </c>
      <c r="J906" s="5">
        <v>2</v>
      </c>
      <c r="K906" s="3" t="str" cm="1">
        <f t="array" ref="K906">_xlfn.IFS(J906&lt;=5, "0-5", J906&lt;=10, "6-10", J906&lt;=15, "11-15", J906&lt;=20, "16-20", J906&gt;20, "21+")</f>
        <v>0-5</v>
      </c>
      <c r="L906">
        <v>50</v>
      </c>
      <c r="M906" s="4">
        <f>L906</f>
        <v>50</v>
      </c>
      <c r="N906" s="4">
        <f t="shared" si="471"/>
        <v>50</v>
      </c>
      <c r="O906" s="5">
        <v>2.6</v>
      </c>
      <c r="P906" t="b">
        <v>0</v>
      </c>
      <c r="Q906" t="s">
        <v>54</v>
      </c>
      <c r="R906" s="1">
        <v>0.86</v>
      </c>
      <c r="S906" s="6">
        <f>R906</f>
        <v>0.86</v>
      </c>
    </row>
    <row r="907" spans="1:19" ht="13.5" x14ac:dyDescent="0.25">
      <c r="A907" t="s">
        <v>1918</v>
      </c>
      <c r="B907" t="s">
        <v>1919</v>
      </c>
      <c r="C907" t="str">
        <f t="shared" si="461"/>
        <v>Kelly Shelton</v>
      </c>
      <c r="D907" t="s">
        <v>304</v>
      </c>
      <c r="E907" s="3" t="str">
        <f t="shared" si="470"/>
        <v>Female</v>
      </c>
      <c r="F907" s="5">
        <v>35</v>
      </c>
      <c r="G907" t="s">
        <v>152</v>
      </c>
      <c r="H907" t="s">
        <v>39</v>
      </c>
      <c r="I907" t="s">
        <v>292</v>
      </c>
      <c r="J907" s="5">
        <v>0</v>
      </c>
      <c r="K907" s="3" t="str" cm="1">
        <f t="array" ref="K907">_xlfn.IFS(J907&lt;=5, "0-5", J907&lt;=10, "6-10", J907&lt;=15, "11-15", J907&lt;=20, "16-20", J907&gt;20, "21+")</f>
        <v>0-5</v>
      </c>
      <c r="N907" s="4" t="str">
        <f t="shared" si="471"/>
        <v>NA</v>
      </c>
      <c r="P907" t="s">
        <v>57</v>
      </c>
      <c r="Q907" t="s">
        <v>28</v>
      </c>
      <c r="R907">
        <v>85</v>
      </c>
      <c r="S907" s="6">
        <f t="shared" ref="S907:S908" si="475">R907/100</f>
        <v>0.85</v>
      </c>
    </row>
    <row r="908" spans="1:19" ht="13.5" x14ac:dyDescent="0.25">
      <c r="A908" t="s">
        <v>1920</v>
      </c>
      <c r="B908" t="s">
        <v>1921</v>
      </c>
      <c r="C908" t="str">
        <f t="shared" si="461"/>
        <v>Steven Duncan</v>
      </c>
      <c r="D908" t="s">
        <v>32</v>
      </c>
      <c r="E908" s="3" t="str">
        <f t="shared" si="470"/>
        <v>Male</v>
      </c>
      <c r="F908" s="5">
        <v>31</v>
      </c>
      <c r="G908" t="s">
        <v>23</v>
      </c>
      <c r="H908" t="s">
        <v>24</v>
      </c>
      <c r="I908" t="s">
        <v>284</v>
      </c>
      <c r="J908" s="5">
        <v>13</v>
      </c>
      <c r="K908" s="3" t="str" cm="1">
        <f t="array" ref="K908">_xlfn.IFS(J908&lt;=5, "0-5", J908&lt;=10, "6-10", J908&lt;=15, "11-15", J908&lt;=20, "16-20", J908&gt;20, "21+")</f>
        <v>11-15</v>
      </c>
      <c r="L908" s="2">
        <v>40</v>
      </c>
      <c r="M908" s="4" t="str">
        <f>SUBSTITUTE(L908, "$","")</f>
        <v>40</v>
      </c>
      <c r="N908" s="4">
        <f t="shared" si="471"/>
        <v>40</v>
      </c>
      <c r="O908" s="5">
        <v>1.2</v>
      </c>
      <c r="P908" t="b">
        <v>0</v>
      </c>
      <c r="Q908" t="s">
        <v>54</v>
      </c>
      <c r="R908">
        <v>62</v>
      </c>
      <c r="S908" s="6">
        <f t="shared" si="475"/>
        <v>0.62</v>
      </c>
    </row>
    <row r="909" spans="1:19" ht="13.5" x14ac:dyDescent="0.25">
      <c r="A909" t="s">
        <v>70</v>
      </c>
      <c r="B909" t="s">
        <v>71</v>
      </c>
      <c r="C909" t="str">
        <f t="shared" si="461"/>
        <v>Kristen Haney</v>
      </c>
      <c r="D909" t="s">
        <v>22</v>
      </c>
      <c r="E909" s="3" t="str">
        <f t="shared" si="470"/>
        <v>Female</v>
      </c>
      <c r="F909" s="5">
        <v>55</v>
      </c>
      <c r="G909" t="s">
        <v>62</v>
      </c>
      <c r="H909" t="s">
        <v>63</v>
      </c>
      <c r="I909" t="s">
        <v>25</v>
      </c>
      <c r="J909" s="5">
        <v>2</v>
      </c>
      <c r="K909" s="3" t="str" cm="1">
        <f t="array" ref="K909">_xlfn.IFS(J909&lt;=5, "0-5", J909&lt;=10, "6-10", J909&lt;=15, "11-15", J909&lt;=20, "16-20", J909&gt;20, "21+")</f>
        <v>0-5</v>
      </c>
      <c r="L909" t="s">
        <v>72</v>
      </c>
      <c r="M909" s="4" t="str">
        <f t="shared" ref="M909" si="476">_xlfn.TEXTAFTER(L909, " ")</f>
        <v>30</v>
      </c>
      <c r="N909" s="4">
        <f t="shared" si="471"/>
        <v>30</v>
      </c>
      <c r="O909" s="5">
        <v>3.1</v>
      </c>
      <c r="P909" t="s">
        <v>57</v>
      </c>
      <c r="Q909" t="s">
        <v>28</v>
      </c>
      <c r="R909" s="1">
        <v>0.91</v>
      </c>
      <c r="S909" s="6">
        <f t="shared" ref="S909:S911" si="477">R909</f>
        <v>0.91</v>
      </c>
    </row>
    <row r="910" spans="1:19" ht="13.5" x14ac:dyDescent="0.25">
      <c r="A910" t="s">
        <v>1922</v>
      </c>
      <c r="B910" t="s">
        <v>1923</v>
      </c>
      <c r="C910" t="str">
        <f t="shared" si="461"/>
        <v>Kathy Reese</v>
      </c>
      <c r="D910" t="s">
        <v>37</v>
      </c>
      <c r="E910" s="3" t="str">
        <f t="shared" si="470"/>
        <v>Female</v>
      </c>
      <c r="F910" s="5">
        <v>59</v>
      </c>
      <c r="G910" t="s">
        <v>67</v>
      </c>
      <c r="H910" t="s">
        <v>68</v>
      </c>
      <c r="I910" t="s">
        <v>290</v>
      </c>
      <c r="J910" s="5">
        <v>11</v>
      </c>
      <c r="K910" s="3" t="str" cm="1">
        <f t="array" ref="K910">_xlfn.IFS(J910&lt;=5, "0-5", J910&lt;=10, "6-10", J910&lt;=15, "11-15", J910&lt;=20, "16-20", J910&gt;20, "21+")</f>
        <v>11-15</v>
      </c>
      <c r="L910" s="2">
        <v>75</v>
      </c>
      <c r="M910" s="4" t="str">
        <f>SUBSTITUTE(L910, "$","")</f>
        <v>75</v>
      </c>
      <c r="N910" s="4">
        <f t="shared" si="471"/>
        <v>75</v>
      </c>
      <c r="O910" s="5">
        <v>2.2999999999999998</v>
      </c>
      <c r="P910" t="s">
        <v>57</v>
      </c>
      <c r="Q910" t="s">
        <v>28</v>
      </c>
      <c r="R910" s="1">
        <v>0.8</v>
      </c>
      <c r="S910" s="6">
        <f t="shared" si="477"/>
        <v>0.8</v>
      </c>
    </row>
    <row r="911" spans="1:19" ht="13.5" x14ac:dyDescent="0.25">
      <c r="A911" t="s">
        <v>1924</v>
      </c>
      <c r="B911" t="s">
        <v>1925</v>
      </c>
      <c r="C911" t="str">
        <f t="shared" si="461"/>
        <v>Steven Murphy</v>
      </c>
      <c r="D911" t="s">
        <v>311</v>
      </c>
      <c r="E911" s="3" t="str">
        <f t="shared" si="470"/>
        <v>Male</v>
      </c>
      <c r="F911" s="5">
        <v>59</v>
      </c>
      <c r="G911" t="s">
        <v>132</v>
      </c>
      <c r="H911" t="s">
        <v>133</v>
      </c>
      <c r="I911" t="s">
        <v>288</v>
      </c>
      <c r="J911" s="5">
        <v>17</v>
      </c>
      <c r="K911" s="3" t="str" cm="1">
        <f t="array" ref="K911">_xlfn.IFS(J911&lt;=5, "0-5", J911&lt;=10, "6-10", J911&lt;=15, "11-15", J911&lt;=20, "16-20", J911&gt;20, "21+")</f>
        <v>16-20</v>
      </c>
      <c r="L911">
        <v>100</v>
      </c>
      <c r="M911" s="4">
        <f>L911</f>
        <v>100</v>
      </c>
      <c r="N911" s="4">
        <f t="shared" si="471"/>
        <v>100</v>
      </c>
      <c r="O911" s="5">
        <v>4</v>
      </c>
      <c r="P911" t="s">
        <v>81</v>
      </c>
      <c r="Q911" t="s">
        <v>54</v>
      </c>
      <c r="R911" s="1">
        <v>0.72</v>
      </c>
      <c r="S911" s="6">
        <f t="shared" si="477"/>
        <v>0.72</v>
      </c>
    </row>
    <row r="912" spans="1:19" ht="13.5" x14ac:dyDescent="0.25">
      <c r="A912" t="s">
        <v>1926</v>
      </c>
      <c r="B912" t="s">
        <v>1927</v>
      </c>
      <c r="C912" t="str">
        <f t="shared" si="461"/>
        <v>William Hartman</v>
      </c>
      <c r="D912" t="s">
        <v>328</v>
      </c>
      <c r="E912" s="3" t="str">
        <f t="shared" si="470"/>
        <v>Male</v>
      </c>
      <c r="F912" s="5">
        <v>47</v>
      </c>
      <c r="G912" t="s">
        <v>146</v>
      </c>
      <c r="H912" t="s">
        <v>147</v>
      </c>
      <c r="I912" t="s">
        <v>292</v>
      </c>
      <c r="J912" s="5">
        <v>10</v>
      </c>
      <c r="K912" s="3" t="str" cm="1">
        <f t="array" ref="K912">_xlfn.IFS(J912&lt;=5, "0-5", J912&lt;=10, "6-10", J912&lt;=15, "11-15", J912&lt;=20, "16-20", J912&gt;20, "21+")</f>
        <v>6-10</v>
      </c>
      <c r="L912" s="2">
        <v>75</v>
      </c>
      <c r="M912" s="4" t="str">
        <f>SUBSTITUTE(L912, "$","")</f>
        <v>75</v>
      </c>
      <c r="N912" s="4">
        <f t="shared" si="471"/>
        <v>75</v>
      </c>
      <c r="O912" s="5">
        <v>1.9</v>
      </c>
      <c r="S912" s="7"/>
    </row>
    <row r="913" spans="1:19" ht="13.5" x14ac:dyDescent="0.25">
      <c r="A913" t="s">
        <v>1928</v>
      </c>
      <c r="B913" t="s">
        <v>1929</v>
      </c>
      <c r="C913" t="str">
        <f t="shared" si="461"/>
        <v>Sonya Haley</v>
      </c>
      <c r="D913" t="s">
        <v>304</v>
      </c>
      <c r="E913" s="3" t="str">
        <f t="shared" si="470"/>
        <v>Female</v>
      </c>
      <c r="F913" s="5">
        <v>53</v>
      </c>
      <c r="G913" t="s">
        <v>177</v>
      </c>
      <c r="H913" t="s">
        <v>178</v>
      </c>
      <c r="I913" t="s">
        <v>284</v>
      </c>
      <c r="J913" s="5">
        <v>26</v>
      </c>
      <c r="K913" s="3" t="str" cm="1">
        <f t="array" ref="K913">_xlfn.IFS(J913&lt;=5, "0-5", J913&lt;=10, "6-10", J913&lt;=15, "11-15", J913&lt;=20, "16-20", J913&gt;20, "21+")</f>
        <v>21+</v>
      </c>
      <c r="L913">
        <v>75</v>
      </c>
      <c r="M913" s="4">
        <f>L913</f>
        <v>75</v>
      </c>
      <c r="N913" s="4">
        <f t="shared" si="471"/>
        <v>75</v>
      </c>
      <c r="O913" s="5">
        <v>2.4</v>
      </c>
      <c r="P913" t="s">
        <v>27</v>
      </c>
      <c r="Q913" t="s">
        <v>28</v>
      </c>
      <c r="S913" s="7"/>
    </row>
    <row r="914" spans="1:19" ht="13.5" x14ac:dyDescent="0.25">
      <c r="A914" t="s">
        <v>1930</v>
      </c>
      <c r="B914" t="s">
        <v>687</v>
      </c>
      <c r="C914" t="str">
        <f t="shared" si="461"/>
        <v>Robert Evans</v>
      </c>
      <c r="D914" t="s">
        <v>311</v>
      </c>
      <c r="E914" s="3" t="str">
        <f t="shared" si="470"/>
        <v>Male</v>
      </c>
      <c r="F914" s="5">
        <v>49</v>
      </c>
      <c r="G914" t="s">
        <v>177</v>
      </c>
      <c r="H914" t="s">
        <v>178</v>
      </c>
      <c r="I914" t="s">
        <v>291</v>
      </c>
      <c r="K914" s="3" t="str" cm="1">
        <f t="array" ref="K914">_xlfn.IFS(J914&lt;=5, "0-5", J914&lt;=10, "6-10", J914&lt;=15, "11-15", J914&lt;=20, "16-20", J914&gt;20, "21+")</f>
        <v>0-5</v>
      </c>
      <c r="L914" s="2">
        <v>30</v>
      </c>
      <c r="M914" s="4" t="str">
        <f>SUBSTITUTE(L914, "$","")</f>
        <v>30</v>
      </c>
      <c r="N914" s="4">
        <f t="shared" si="471"/>
        <v>30</v>
      </c>
      <c r="P914" t="s">
        <v>27</v>
      </c>
      <c r="Q914" t="s">
        <v>28</v>
      </c>
      <c r="R914" s="1">
        <v>0.74</v>
      </c>
      <c r="S914" s="6">
        <f t="shared" ref="S914:S919" si="478">R914</f>
        <v>0.74</v>
      </c>
    </row>
    <row r="915" spans="1:19" ht="13.5" x14ac:dyDescent="0.25">
      <c r="A915" t="s">
        <v>1931</v>
      </c>
      <c r="B915" t="s">
        <v>1932</v>
      </c>
      <c r="C915" t="str">
        <f t="shared" si="461"/>
        <v>Patricia Richardson</v>
      </c>
      <c r="D915" t="s">
        <v>37</v>
      </c>
      <c r="E915" s="3" t="str">
        <f t="shared" si="470"/>
        <v>Female</v>
      </c>
      <c r="F915" s="5">
        <v>50</v>
      </c>
      <c r="G915" t="s">
        <v>177</v>
      </c>
      <c r="H915" t="s">
        <v>178</v>
      </c>
      <c r="I915" t="s">
        <v>285</v>
      </c>
      <c r="J915" s="5">
        <v>8</v>
      </c>
      <c r="K915" s="3" t="str" cm="1">
        <f t="array" ref="K915">_xlfn.IFS(J915&lt;=5, "0-5", J915&lt;=10, "6-10", J915&lt;=15, "11-15", J915&lt;=20, "16-20", J915&gt;20, "21+")</f>
        <v>6-10</v>
      </c>
      <c r="L915" t="s">
        <v>112</v>
      </c>
      <c r="M915" s="4" t="str">
        <f t="shared" ref="M915:M917" si="479">_xlfn.TEXTAFTER(L915, " ")</f>
        <v>50</v>
      </c>
      <c r="N915" s="4">
        <f t="shared" si="471"/>
        <v>50</v>
      </c>
      <c r="O915" s="5">
        <v>3.7</v>
      </c>
      <c r="P915" t="s">
        <v>57</v>
      </c>
      <c r="Q915" t="s">
        <v>28</v>
      </c>
      <c r="R915" s="1">
        <v>0.82</v>
      </c>
      <c r="S915" s="6">
        <f t="shared" si="478"/>
        <v>0.82</v>
      </c>
    </row>
    <row r="916" spans="1:19" ht="13.5" x14ac:dyDescent="0.25">
      <c r="A916" t="s">
        <v>1933</v>
      </c>
      <c r="B916" t="s">
        <v>1934</v>
      </c>
      <c r="C916" t="str">
        <f t="shared" si="461"/>
        <v>Carolyn Lopez</v>
      </c>
      <c r="D916" t="s">
        <v>304</v>
      </c>
      <c r="E916" s="3" t="str">
        <f t="shared" si="470"/>
        <v>Female</v>
      </c>
      <c r="F916" s="5">
        <v>59</v>
      </c>
      <c r="G916" t="s">
        <v>62</v>
      </c>
      <c r="H916" t="s">
        <v>63</v>
      </c>
      <c r="I916" t="s">
        <v>284</v>
      </c>
      <c r="J916" s="5">
        <v>22</v>
      </c>
      <c r="K916" s="3" t="str" cm="1">
        <f t="array" ref="K916">_xlfn.IFS(J916&lt;=5, "0-5", J916&lt;=10, "6-10", J916&lt;=15, "11-15", J916&lt;=20, "16-20", J916&gt;20, "21+")</f>
        <v>21+</v>
      </c>
      <c r="L916" t="s">
        <v>40</v>
      </c>
      <c r="M916" s="4" t="str">
        <f t="shared" si="479"/>
        <v>100</v>
      </c>
      <c r="N916" s="4">
        <f t="shared" si="471"/>
        <v>100</v>
      </c>
      <c r="O916" s="5">
        <v>1.1000000000000001</v>
      </c>
      <c r="P916" t="s">
        <v>81</v>
      </c>
      <c r="Q916" t="s">
        <v>54</v>
      </c>
      <c r="R916" s="1">
        <v>0.85</v>
      </c>
      <c r="S916" s="6">
        <f t="shared" si="478"/>
        <v>0.85</v>
      </c>
    </row>
    <row r="917" spans="1:19" ht="13.5" x14ac:dyDescent="0.25">
      <c r="A917" t="s">
        <v>1935</v>
      </c>
      <c r="B917" t="s">
        <v>1936</v>
      </c>
      <c r="C917" t="str">
        <f t="shared" si="461"/>
        <v>Kyle Burns</v>
      </c>
      <c r="D917" t="s">
        <v>328</v>
      </c>
      <c r="E917" s="3" t="str">
        <f t="shared" si="470"/>
        <v>Male</v>
      </c>
      <c r="F917" s="5">
        <v>33</v>
      </c>
      <c r="G917" t="s">
        <v>67</v>
      </c>
      <c r="H917" t="s">
        <v>68</v>
      </c>
      <c r="I917" t="s">
        <v>291</v>
      </c>
      <c r="J917" s="5">
        <v>8</v>
      </c>
      <c r="K917" s="3" t="str" cm="1">
        <f t="array" ref="K917">_xlfn.IFS(J917&lt;=5, "0-5", J917&lt;=10, "6-10", J917&lt;=15, "11-15", J917&lt;=20, "16-20", J917&gt;20, "21+")</f>
        <v>6-10</v>
      </c>
      <c r="L917" t="s">
        <v>92</v>
      </c>
      <c r="M917" s="4" t="str">
        <f t="shared" si="479"/>
        <v>75</v>
      </c>
      <c r="N917" s="4">
        <f t="shared" si="471"/>
        <v>75</v>
      </c>
      <c r="O917" s="5">
        <v>2.2999999999999998</v>
      </c>
      <c r="P917" t="b">
        <v>1</v>
      </c>
      <c r="Q917" t="s">
        <v>28</v>
      </c>
      <c r="R917" s="1">
        <v>0.68</v>
      </c>
      <c r="S917" s="6">
        <f t="shared" si="478"/>
        <v>0.68</v>
      </c>
    </row>
    <row r="918" spans="1:19" ht="13.5" x14ac:dyDescent="0.25">
      <c r="A918" t="s">
        <v>1937</v>
      </c>
      <c r="B918" t="s">
        <v>1938</v>
      </c>
      <c r="C918" t="str">
        <f t="shared" si="461"/>
        <v>Margaret Garcia</v>
      </c>
      <c r="D918" t="s">
        <v>37</v>
      </c>
      <c r="E918" s="3" t="str">
        <f t="shared" si="470"/>
        <v>Female</v>
      </c>
      <c r="F918" s="5">
        <v>45</v>
      </c>
      <c r="G918" t="s">
        <v>125</v>
      </c>
      <c r="H918" t="s">
        <v>39</v>
      </c>
      <c r="I918" t="s">
        <v>290</v>
      </c>
      <c r="J918" s="5">
        <v>22</v>
      </c>
      <c r="K918" s="3" t="str" cm="1">
        <f t="array" ref="K918">_xlfn.IFS(J918&lt;=5, "0-5", J918&lt;=10, "6-10", J918&lt;=15, "11-15", J918&lt;=20, "16-20", J918&gt;20, "21+")</f>
        <v>21+</v>
      </c>
      <c r="L918">
        <v>40</v>
      </c>
      <c r="M918" s="4">
        <f t="shared" ref="M918:M922" si="480">L918</f>
        <v>40</v>
      </c>
      <c r="N918" s="4">
        <f t="shared" si="471"/>
        <v>40</v>
      </c>
      <c r="O918" s="5">
        <v>3.7</v>
      </c>
      <c r="P918" t="s">
        <v>57</v>
      </c>
      <c r="Q918" t="s">
        <v>28</v>
      </c>
      <c r="R918" s="1">
        <v>0.99</v>
      </c>
      <c r="S918" s="6">
        <f t="shared" si="478"/>
        <v>0.99</v>
      </c>
    </row>
    <row r="919" spans="1:19" ht="13.5" x14ac:dyDescent="0.25">
      <c r="A919" t="s">
        <v>1939</v>
      </c>
      <c r="B919" t="s">
        <v>1940</v>
      </c>
      <c r="C919" t="str">
        <f t="shared" si="461"/>
        <v>Brittany Barker</v>
      </c>
      <c r="D919" t="s">
        <v>304</v>
      </c>
      <c r="E919" s="3" t="str">
        <f t="shared" si="470"/>
        <v>Female</v>
      </c>
      <c r="F919" s="5">
        <v>36</v>
      </c>
      <c r="G919" t="s">
        <v>253</v>
      </c>
      <c r="H919" t="s">
        <v>254</v>
      </c>
      <c r="I919" t="s">
        <v>287</v>
      </c>
      <c r="J919" s="5">
        <v>14</v>
      </c>
      <c r="K919" s="3" t="str" cm="1">
        <f t="array" ref="K919">_xlfn.IFS(J919&lt;=5, "0-5", J919&lt;=10, "6-10", J919&lt;=15, "11-15", J919&lt;=20, "16-20", J919&gt;20, "21+")</f>
        <v>11-15</v>
      </c>
      <c r="L919">
        <v>30</v>
      </c>
      <c r="M919" s="4">
        <f t="shared" si="480"/>
        <v>30</v>
      </c>
      <c r="N919" s="4">
        <f t="shared" si="471"/>
        <v>30</v>
      </c>
      <c r="O919" s="5">
        <v>1.9</v>
      </c>
      <c r="P919">
        <v>0</v>
      </c>
      <c r="Q919" t="s">
        <v>54</v>
      </c>
      <c r="R919" s="1">
        <v>0.62</v>
      </c>
      <c r="S919" s="6">
        <f t="shared" si="478"/>
        <v>0.62</v>
      </c>
    </row>
    <row r="920" spans="1:19" ht="13.5" x14ac:dyDescent="0.25">
      <c r="A920" t="s">
        <v>1941</v>
      </c>
      <c r="B920" t="s">
        <v>1942</v>
      </c>
      <c r="C920" t="str">
        <f t="shared" si="461"/>
        <v>Paul Campbell</v>
      </c>
      <c r="D920" t="s">
        <v>31</v>
      </c>
      <c r="E920" s="3" t="str">
        <f t="shared" si="470"/>
        <v>Male</v>
      </c>
      <c r="F920" s="5">
        <v>46</v>
      </c>
      <c r="G920" t="s">
        <v>177</v>
      </c>
      <c r="H920" t="s">
        <v>178</v>
      </c>
      <c r="I920" t="s">
        <v>286</v>
      </c>
      <c r="J920" s="5">
        <v>6</v>
      </c>
      <c r="K920" s="3" t="str" cm="1">
        <f t="array" ref="K920">_xlfn.IFS(J920&lt;=5, "0-5", J920&lt;=10, "6-10", J920&lt;=15, "11-15", J920&lt;=20, "16-20", J920&gt;20, "21+")</f>
        <v>6-10</v>
      </c>
      <c r="L920">
        <v>30</v>
      </c>
      <c r="M920" s="4">
        <f t="shared" si="480"/>
        <v>30</v>
      </c>
      <c r="N920" s="4">
        <f t="shared" si="471"/>
        <v>30</v>
      </c>
      <c r="O920" s="5">
        <v>1.5</v>
      </c>
      <c r="P920" t="s">
        <v>64</v>
      </c>
      <c r="Q920" t="s">
        <v>54</v>
      </c>
      <c r="S920" s="7"/>
    </row>
    <row r="921" spans="1:19" ht="13.5" x14ac:dyDescent="0.25">
      <c r="A921" t="s">
        <v>1943</v>
      </c>
      <c r="B921" t="s">
        <v>1944</v>
      </c>
      <c r="C921" t="str">
        <f t="shared" si="461"/>
        <v>Amy Morrow</v>
      </c>
      <c r="D921" t="s">
        <v>304</v>
      </c>
      <c r="E921" s="3" t="str">
        <f t="shared" si="470"/>
        <v>Female</v>
      </c>
      <c r="F921" s="5">
        <v>53</v>
      </c>
      <c r="G921" t="s">
        <v>67</v>
      </c>
      <c r="H921" t="s">
        <v>68</v>
      </c>
      <c r="I921" t="s">
        <v>287</v>
      </c>
      <c r="J921" s="5">
        <v>14</v>
      </c>
      <c r="K921" s="3" t="str" cm="1">
        <f t="array" ref="K921">_xlfn.IFS(J921&lt;=5, "0-5", J921&lt;=10, "6-10", J921&lt;=15, "11-15", J921&lt;=20, "16-20", J921&gt;20, "21+")</f>
        <v>11-15</v>
      </c>
      <c r="L921">
        <v>30</v>
      </c>
      <c r="M921" s="4">
        <f t="shared" si="480"/>
        <v>30</v>
      </c>
      <c r="N921" s="4">
        <f t="shared" si="471"/>
        <v>30</v>
      </c>
      <c r="O921" s="5">
        <v>0</v>
      </c>
      <c r="P921" t="b">
        <v>0</v>
      </c>
      <c r="Q921" t="s">
        <v>54</v>
      </c>
      <c r="R921" s="1">
        <v>0.83</v>
      </c>
      <c r="S921" s="6">
        <f t="shared" ref="S921:S923" si="481">R921</f>
        <v>0.83</v>
      </c>
    </row>
    <row r="922" spans="1:19" ht="13.5" x14ac:dyDescent="0.25">
      <c r="A922" t="s">
        <v>1945</v>
      </c>
      <c r="B922" t="s">
        <v>1946</v>
      </c>
      <c r="C922" t="str">
        <f t="shared" si="461"/>
        <v>Amy Fitzgerald</v>
      </c>
      <c r="D922" t="s">
        <v>37</v>
      </c>
      <c r="E922" s="3" t="str">
        <f t="shared" si="470"/>
        <v>Female</v>
      </c>
      <c r="F922" s="5">
        <v>24</v>
      </c>
      <c r="G922" t="s">
        <v>183</v>
      </c>
      <c r="H922" t="s">
        <v>39</v>
      </c>
      <c r="I922" t="s">
        <v>290</v>
      </c>
      <c r="J922" s="5">
        <v>2</v>
      </c>
      <c r="K922" s="3" t="str" cm="1">
        <f t="array" ref="K922">_xlfn.IFS(J922&lt;=5, "0-5", J922&lt;=10, "6-10", J922&lt;=15, "11-15", J922&lt;=20, "16-20", J922&gt;20, "21+")</f>
        <v>0-5</v>
      </c>
      <c r="L922">
        <v>30</v>
      </c>
      <c r="M922" s="4">
        <f t="shared" si="480"/>
        <v>30</v>
      </c>
      <c r="N922" s="4">
        <f t="shared" si="471"/>
        <v>30</v>
      </c>
      <c r="O922" s="5">
        <v>3.6</v>
      </c>
      <c r="R922" s="1">
        <v>0.92</v>
      </c>
      <c r="S922" s="6">
        <f t="shared" si="481"/>
        <v>0.92</v>
      </c>
    </row>
    <row r="923" spans="1:19" ht="13.5" x14ac:dyDescent="0.25">
      <c r="A923" t="s">
        <v>1947</v>
      </c>
      <c r="B923" t="s">
        <v>1948</v>
      </c>
      <c r="C923" t="str">
        <f t="shared" si="461"/>
        <v>Anita Becker</v>
      </c>
      <c r="D923" t="s">
        <v>304</v>
      </c>
      <c r="E923" s="3" t="str">
        <f t="shared" si="470"/>
        <v>Female</v>
      </c>
      <c r="F923" s="5">
        <v>49</v>
      </c>
      <c r="G923" t="s">
        <v>84</v>
      </c>
      <c r="H923" t="s">
        <v>24</v>
      </c>
      <c r="I923" t="s">
        <v>283</v>
      </c>
      <c r="J923" s="5">
        <v>4</v>
      </c>
      <c r="K923" s="3" t="str" cm="1">
        <f t="array" ref="K923">_xlfn.IFS(J923&lt;=5, "0-5", J923&lt;=10, "6-10", J923&lt;=15, "11-15", J923&lt;=20, "16-20", J923&gt;20, "21+")</f>
        <v>0-5</v>
      </c>
      <c r="L923" s="2">
        <v>75</v>
      </c>
      <c r="M923" s="4" t="str">
        <f>SUBSTITUTE(L923, "$","")</f>
        <v>75</v>
      </c>
      <c r="N923" s="4">
        <f t="shared" si="471"/>
        <v>75</v>
      </c>
      <c r="O923" s="5">
        <v>2.1</v>
      </c>
      <c r="R923" s="1">
        <v>0.85</v>
      </c>
      <c r="S923" s="6">
        <f t="shared" si="481"/>
        <v>0.85</v>
      </c>
    </row>
    <row r="924" spans="1:19" ht="13.5" x14ac:dyDescent="0.25">
      <c r="A924" t="s">
        <v>60</v>
      </c>
      <c r="B924" t="s">
        <v>61</v>
      </c>
      <c r="C924" t="str">
        <f>_xlfn.TEXTAFTER(B924,". ",)</f>
        <v>Amy Brooks</v>
      </c>
      <c r="D924" t="s">
        <v>301</v>
      </c>
      <c r="E924" s="3" t="str">
        <f t="shared" si="470"/>
        <v>Female</v>
      </c>
      <c r="F924" s="5">
        <v>49</v>
      </c>
      <c r="G924" t="s">
        <v>62</v>
      </c>
      <c r="H924" t="s">
        <v>63</v>
      </c>
      <c r="I924" t="s">
        <v>25</v>
      </c>
      <c r="J924" s="5">
        <v>4</v>
      </c>
      <c r="K924" s="3" t="str" cm="1">
        <f t="array" ref="K924">_xlfn.IFS(J924&lt;=5, "0-5", J924&lt;=10, "6-10", J924&lt;=15, "11-15", J924&lt;=20, "16-20", J924&gt;20, "21+")</f>
        <v>0-5</v>
      </c>
      <c r="L924">
        <v>75</v>
      </c>
      <c r="M924" s="4">
        <f t="shared" ref="M924:M926" si="482">L924</f>
        <v>75</v>
      </c>
      <c r="N924" s="4">
        <f t="shared" si="471"/>
        <v>75</v>
      </c>
      <c r="O924" s="5">
        <v>2.9</v>
      </c>
      <c r="P924" t="s">
        <v>64</v>
      </c>
      <c r="Q924" t="s">
        <v>54</v>
      </c>
      <c r="S924" s="7"/>
    </row>
    <row r="925" spans="1:19" ht="13.5" x14ac:dyDescent="0.25">
      <c r="A925" t="s">
        <v>1949</v>
      </c>
      <c r="B925" t="s">
        <v>1950</v>
      </c>
      <c r="C925" t="str">
        <f t="shared" ref="C925:C964" si="483">B925</f>
        <v>Lori Marshall</v>
      </c>
      <c r="D925" t="s">
        <v>21</v>
      </c>
      <c r="E925" s="3" t="str">
        <f t="shared" si="470"/>
        <v>Female</v>
      </c>
      <c r="F925" s="5">
        <v>49</v>
      </c>
      <c r="G925" t="s">
        <v>62</v>
      </c>
      <c r="H925" t="s">
        <v>63</v>
      </c>
      <c r="I925" t="s">
        <v>285</v>
      </c>
      <c r="J925" s="5">
        <v>24</v>
      </c>
      <c r="K925" s="3" t="str" cm="1">
        <f t="array" ref="K925">_xlfn.IFS(J925&lt;=5, "0-5", J925&lt;=10, "6-10", J925&lt;=15, "11-15", J925&lt;=20, "16-20", J925&gt;20, "21+")</f>
        <v>21+</v>
      </c>
      <c r="L925">
        <v>100</v>
      </c>
      <c r="M925" s="4">
        <f t="shared" si="482"/>
        <v>100</v>
      </c>
      <c r="N925" s="4">
        <f t="shared" si="471"/>
        <v>100</v>
      </c>
      <c r="O925" s="5">
        <v>3.6</v>
      </c>
      <c r="P925" t="b">
        <v>1</v>
      </c>
      <c r="Q925" t="s">
        <v>28</v>
      </c>
      <c r="S925" s="7"/>
    </row>
    <row r="926" spans="1:19" ht="13.5" x14ac:dyDescent="0.25">
      <c r="A926" t="s">
        <v>1951</v>
      </c>
      <c r="B926" t="s">
        <v>1952</v>
      </c>
      <c r="C926" t="str">
        <f t="shared" si="483"/>
        <v>Jennifer Miller</v>
      </c>
      <c r="D926" t="s">
        <v>22</v>
      </c>
      <c r="E926" s="3" t="str">
        <f t="shared" si="470"/>
        <v>Female</v>
      </c>
      <c r="F926" s="5">
        <v>58</v>
      </c>
      <c r="G926" t="s">
        <v>47</v>
      </c>
      <c r="H926" t="s">
        <v>48</v>
      </c>
      <c r="I926" t="s">
        <v>292</v>
      </c>
      <c r="J926" s="5">
        <v>29</v>
      </c>
      <c r="K926" s="3" t="str" cm="1">
        <f t="array" ref="K926">_xlfn.IFS(J926&lt;=5, "0-5", J926&lt;=10, "6-10", J926&lt;=15, "11-15", J926&lt;=20, "16-20", J926&gt;20, "21+")</f>
        <v>21+</v>
      </c>
      <c r="L926">
        <v>30</v>
      </c>
      <c r="M926" s="4">
        <f t="shared" si="482"/>
        <v>30</v>
      </c>
      <c r="N926" s="4">
        <f t="shared" si="471"/>
        <v>30</v>
      </c>
      <c r="O926" s="5">
        <v>3.3</v>
      </c>
      <c r="P926" t="s">
        <v>27</v>
      </c>
      <c r="Q926" t="s">
        <v>28</v>
      </c>
      <c r="R926" s="1">
        <v>0.89</v>
      </c>
      <c r="S926" s="6">
        <f t="shared" ref="S926:S927" si="484">R926</f>
        <v>0.89</v>
      </c>
    </row>
    <row r="927" spans="1:19" ht="13.5" x14ac:dyDescent="0.25">
      <c r="A927" t="s">
        <v>1953</v>
      </c>
      <c r="B927" t="s">
        <v>1954</v>
      </c>
      <c r="C927" t="str">
        <f t="shared" si="483"/>
        <v>Thomas Young</v>
      </c>
      <c r="D927" t="s">
        <v>311</v>
      </c>
      <c r="E927" s="3" t="str">
        <f t="shared" si="470"/>
        <v>Male</v>
      </c>
      <c r="F927" s="5">
        <v>50</v>
      </c>
      <c r="G927" t="s">
        <v>177</v>
      </c>
      <c r="H927" t="s">
        <v>178</v>
      </c>
      <c r="I927" t="s">
        <v>286</v>
      </c>
      <c r="J927" s="5">
        <v>13</v>
      </c>
      <c r="K927" s="3" t="str" cm="1">
        <f t="array" ref="K927">_xlfn.IFS(J927&lt;=5, "0-5", J927&lt;=10, "6-10", J927&lt;=15, "11-15", J927&lt;=20, "16-20", J927&gt;20, "21+")</f>
        <v>11-15</v>
      </c>
      <c r="N927" s="4" t="str">
        <f t="shared" si="471"/>
        <v>NA</v>
      </c>
      <c r="O927" s="5">
        <v>2.5</v>
      </c>
      <c r="P927" t="s">
        <v>57</v>
      </c>
      <c r="Q927" t="s">
        <v>28</v>
      </c>
      <c r="R927" s="1">
        <v>0.81</v>
      </c>
      <c r="S927" s="6">
        <f t="shared" si="484"/>
        <v>0.81</v>
      </c>
    </row>
    <row r="928" spans="1:19" ht="13.5" x14ac:dyDescent="0.25">
      <c r="A928" t="s">
        <v>1955</v>
      </c>
      <c r="B928" t="s">
        <v>1956</v>
      </c>
      <c r="C928" t="str">
        <f t="shared" si="483"/>
        <v>Zachary Larsen</v>
      </c>
      <c r="D928" t="s">
        <v>328</v>
      </c>
      <c r="E928" s="3" t="str">
        <f t="shared" si="470"/>
        <v>Male</v>
      </c>
      <c r="F928" s="5">
        <v>27</v>
      </c>
      <c r="G928" t="s">
        <v>177</v>
      </c>
      <c r="H928" t="s">
        <v>178</v>
      </c>
      <c r="I928" t="s">
        <v>283</v>
      </c>
      <c r="J928" s="5">
        <v>1</v>
      </c>
      <c r="K928" s="3" t="str" cm="1">
        <f t="array" ref="K928">_xlfn.IFS(J928&lt;=5, "0-5", J928&lt;=10, "6-10", J928&lt;=15, "11-15", J928&lt;=20, "16-20", J928&gt;20, "21+")</f>
        <v>0-5</v>
      </c>
      <c r="L928" t="s">
        <v>40</v>
      </c>
      <c r="M928" s="4" t="str">
        <f t="shared" ref="M928" si="485">_xlfn.TEXTAFTER(L928, " ")</f>
        <v>100</v>
      </c>
      <c r="N928" s="4">
        <f t="shared" si="471"/>
        <v>100</v>
      </c>
      <c r="O928" s="5">
        <v>3.7</v>
      </c>
      <c r="P928" t="s">
        <v>57</v>
      </c>
      <c r="Q928" t="s">
        <v>28</v>
      </c>
      <c r="R928">
        <v>61</v>
      </c>
      <c r="S928" s="6">
        <f>R928/100</f>
        <v>0.61</v>
      </c>
    </row>
    <row r="929" spans="1:19" ht="13.5" x14ac:dyDescent="0.25">
      <c r="A929" t="s">
        <v>1957</v>
      </c>
      <c r="B929" t="s">
        <v>1958</v>
      </c>
      <c r="C929" t="str">
        <f t="shared" si="483"/>
        <v>Valerie Gutierrez</v>
      </c>
      <c r="D929" t="s">
        <v>301</v>
      </c>
      <c r="E929" s="3" t="str">
        <f t="shared" si="470"/>
        <v>Female</v>
      </c>
      <c r="F929" s="5">
        <v>20</v>
      </c>
      <c r="G929" t="s">
        <v>62</v>
      </c>
      <c r="H929" t="s">
        <v>63</v>
      </c>
      <c r="I929" t="s">
        <v>284</v>
      </c>
      <c r="K929" s="3" t="str" cm="1">
        <f t="array" ref="K929">_xlfn.IFS(J929&lt;=5, "0-5", J929&lt;=10, "6-10", J929&lt;=15, "11-15", J929&lt;=20, "16-20", J929&gt;20, "21+")</f>
        <v>0-5</v>
      </c>
      <c r="L929" s="2">
        <v>30</v>
      </c>
      <c r="M929" s="4" t="str">
        <f t="shared" ref="M929:M930" si="486">SUBSTITUTE(L929, "$","")</f>
        <v>30</v>
      </c>
      <c r="N929" s="4">
        <f t="shared" si="471"/>
        <v>30</v>
      </c>
      <c r="O929" s="5">
        <v>4.5999999999999996</v>
      </c>
      <c r="P929">
        <v>1</v>
      </c>
      <c r="Q929" t="s">
        <v>28</v>
      </c>
      <c r="S929" s="7"/>
    </row>
    <row r="930" spans="1:19" ht="13.5" x14ac:dyDescent="0.25">
      <c r="A930" t="s">
        <v>1959</v>
      </c>
      <c r="B930" t="s">
        <v>1960</v>
      </c>
      <c r="C930" t="str">
        <f t="shared" si="483"/>
        <v>Daniel Parker</v>
      </c>
      <c r="D930" t="s">
        <v>311</v>
      </c>
      <c r="E930" s="3" t="str">
        <f t="shared" si="470"/>
        <v>Male</v>
      </c>
      <c r="F930" s="5">
        <v>52</v>
      </c>
      <c r="G930" t="s">
        <v>95</v>
      </c>
      <c r="H930" t="s">
        <v>96</v>
      </c>
      <c r="I930" t="s">
        <v>292</v>
      </c>
      <c r="J930" s="5">
        <v>15</v>
      </c>
      <c r="K930" s="3" t="str" cm="1">
        <f t="array" ref="K930">_xlfn.IFS(J930&lt;=5, "0-5", J930&lt;=10, "6-10", J930&lt;=15, "11-15", J930&lt;=20, "16-20", J930&gt;20, "21+")</f>
        <v>11-15</v>
      </c>
      <c r="L930" s="2">
        <v>40</v>
      </c>
      <c r="M930" s="4" t="str">
        <f t="shared" si="486"/>
        <v>40</v>
      </c>
      <c r="N930" s="4">
        <f t="shared" si="471"/>
        <v>40</v>
      </c>
      <c r="O930" s="5">
        <v>0</v>
      </c>
      <c r="P930">
        <v>1</v>
      </c>
      <c r="Q930" t="s">
        <v>28</v>
      </c>
      <c r="R930" s="1">
        <v>0.92</v>
      </c>
      <c r="S930" s="6">
        <f t="shared" ref="S930:S935" si="487">R930</f>
        <v>0.92</v>
      </c>
    </row>
    <row r="931" spans="1:19" ht="13.5" x14ac:dyDescent="0.25">
      <c r="A931" t="s">
        <v>1961</v>
      </c>
      <c r="B931" t="s">
        <v>1962</v>
      </c>
      <c r="C931" t="str">
        <f t="shared" si="483"/>
        <v>Nicole Bennett</v>
      </c>
      <c r="D931" t="s">
        <v>22</v>
      </c>
      <c r="E931" s="3" t="str">
        <f t="shared" si="470"/>
        <v>Female</v>
      </c>
      <c r="F931" s="5">
        <v>22</v>
      </c>
      <c r="G931" t="s">
        <v>132</v>
      </c>
      <c r="H931" t="s">
        <v>133</v>
      </c>
      <c r="I931" t="s">
        <v>284</v>
      </c>
      <c r="J931" s="5">
        <v>2</v>
      </c>
      <c r="K931" s="3" t="str" cm="1">
        <f t="array" ref="K931">_xlfn.IFS(J931&lt;=5, "0-5", J931&lt;=10, "6-10", J931&lt;=15, "11-15", J931&lt;=20, "16-20", J931&gt;20, "21+")</f>
        <v>0-5</v>
      </c>
      <c r="L931">
        <v>30</v>
      </c>
      <c r="M931" s="4">
        <f t="shared" ref="M931:M932" si="488">L931</f>
        <v>30</v>
      </c>
      <c r="N931" s="4">
        <f t="shared" si="471"/>
        <v>30</v>
      </c>
      <c r="O931" s="5">
        <v>2</v>
      </c>
      <c r="P931" t="s">
        <v>81</v>
      </c>
      <c r="Q931" t="s">
        <v>54</v>
      </c>
      <c r="R931" s="1">
        <v>0.96</v>
      </c>
      <c r="S931" s="6">
        <f t="shared" si="487"/>
        <v>0.96</v>
      </c>
    </row>
    <row r="932" spans="1:19" ht="13.5" x14ac:dyDescent="0.25">
      <c r="A932" t="s">
        <v>1963</v>
      </c>
      <c r="B932" t="s">
        <v>1964</v>
      </c>
      <c r="C932" t="str">
        <f t="shared" si="483"/>
        <v>Lauren Lowery</v>
      </c>
      <c r="D932" t="s">
        <v>22</v>
      </c>
      <c r="E932" s="3" t="str">
        <f t="shared" si="470"/>
        <v>Female</v>
      </c>
      <c r="F932" s="5">
        <v>38</v>
      </c>
      <c r="G932" t="s">
        <v>67</v>
      </c>
      <c r="H932" t="s">
        <v>68</v>
      </c>
      <c r="I932" t="s">
        <v>290</v>
      </c>
      <c r="J932" s="5">
        <v>14</v>
      </c>
      <c r="K932" s="3" t="str" cm="1">
        <f t="array" ref="K932">_xlfn.IFS(J932&lt;=5, "0-5", J932&lt;=10, "6-10", J932&lt;=15, "11-15", J932&lt;=20, "16-20", J932&gt;20, "21+")</f>
        <v>11-15</v>
      </c>
      <c r="L932">
        <v>100</v>
      </c>
      <c r="M932" s="4">
        <f t="shared" si="488"/>
        <v>100</v>
      </c>
      <c r="N932" s="4">
        <f t="shared" si="471"/>
        <v>100</v>
      </c>
      <c r="O932" s="5">
        <v>1.7</v>
      </c>
      <c r="P932" t="b">
        <v>0</v>
      </c>
      <c r="Q932" t="s">
        <v>54</v>
      </c>
      <c r="R932" s="1">
        <v>0.66</v>
      </c>
      <c r="S932" s="6">
        <f t="shared" si="487"/>
        <v>0.66</v>
      </c>
    </row>
    <row r="933" spans="1:19" ht="13.5" x14ac:dyDescent="0.25">
      <c r="A933" t="s">
        <v>1965</v>
      </c>
      <c r="B933" t="s">
        <v>1966</v>
      </c>
      <c r="C933" t="str">
        <f t="shared" si="483"/>
        <v>Alexander Woodward</v>
      </c>
      <c r="D933" t="s">
        <v>31</v>
      </c>
      <c r="E933" s="3" t="str">
        <f t="shared" si="470"/>
        <v>Male</v>
      </c>
      <c r="F933" s="5">
        <v>21</v>
      </c>
      <c r="G933" t="s">
        <v>125</v>
      </c>
      <c r="H933" t="s">
        <v>39</v>
      </c>
      <c r="I933" t="s">
        <v>287</v>
      </c>
      <c r="J933" s="5">
        <v>0</v>
      </c>
      <c r="K933" s="3" t="str" cm="1">
        <f t="array" ref="K933">_xlfn.IFS(J933&lt;=5, "0-5", J933&lt;=10, "6-10", J933&lt;=15, "11-15", J933&lt;=20, "16-20", J933&gt;20, "21+")</f>
        <v>0-5</v>
      </c>
      <c r="L933" t="s">
        <v>40</v>
      </c>
      <c r="M933" s="4" t="str">
        <f t="shared" ref="M933" si="489">_xlfn.TEXTAFTER(L933, " ")</f>
        <v>100</v>
      </c>
      <c r="N933" s="4">
        <f t="shared" si="471"/>
        <v>100</v>
      </c>
      <c r="O933" s="5">
        <v>3</v>
      </c>
      <c r="P933" t="s">
        <v>64</v>
      </c>
      <c r="Q933" t="s">
        <v>54</v>
      </c>
      <c r="R933" s="1">
        <v>0.64</v>
      </c>
      <c r="S933" s="6">
        <f t="shared" si="487"/>
        <v>0.64</v>
      </c>
    </row>
    <row r="934" spans="1:19" ht="13.5" x14ac:dyDescent="0.25">
      <c r="A934" t="s">
        <v>58</v>
      </c>
      <c r="B934" t="s">
        <v>59</v>
      </c>
      <c r="C934" t="str">
        <f t="shared" si="483"/>
        <v>Anthony Walter</v>
      </c>
      <c r="D934" t="s">
        <v>311</v>
      </c>
      <c r="E934" s="3" t="str">
        <f t="shared" si="470"/>
        <v>Male</v>
      </c>
      <c r="F934" s="5">
        <v>41</v>
      </c>
      <c r="G934" t="s">
        <v>38</v>
      </c>
      <c r="H934" t="s">
        <v>39</v>
      </c>
      <c r="I934" t="s">
        <v>25</v>
      </c>
      <c r="J934" s="5">
        <v>15</v>
      </c>
      <c r="K934" s="3" t="str" cm="1">
        <f t="array" ref="K934">_xlfn.IFS(J934&lt;=5, "0-5", J934&lt;=10, "6-10", J934&lt;=15, "11-15", J934&lt;=20, "16-20", J934&gt;20, "21+")</f>
        <v>11-15</v>
      </c>
      <c r="L934">
        <v>40</v>
      </c>
      <c r="M934" s="4">
        <f t="shared" ref="M934:M935" si="490">L934</f>
        <v>40</v>
      </c>
      <c r="N934" s="4">
        <f t="shared" si="471"/>
        <v>40</v>
      </c>
      <c r="O934" s="5">
        <v>3.4</v>
      </c>
      <c r="P934" t="b">
        <v>0</v>
      </c>
      <c r="Q934" t="s">
        <v>54</v>
      </c>
      <c r="R934" s="1">
        <v>1</v>
      </c>
      <c r="S934" s="6">
        <f t="shared" si="487"/>
        <v>1</v>
      </c>
    </row>
    <row r="935" spans="1:19" ht="13.5" x14ac:dyDescent="0.25">
      <c r="A935" t="s">
        <v>1967</v>
      </c>
      <c r="B935" t="s">
        <v>1968</v>
      </c>
      <c r="C935" t="str">
        <f t="shared" si="483"/>
        <v>Valerie Finley</v>
      </c>
      <c r="D935" t="s">
        <v>304</v>
      </c>
      <c r="E935" s="3" t="str">
        <f t="shared" si="470"/>
        <v>Female</v>
      </c>
      <c r="F935" s="5">
        <v>33</v>
      </c>
      <c r="G935" t="s">
        <v>104</v>
      </c>
      <c r="H935" t="s">
        <v>105</v>
      </c>
      <c r="I935" t="s">
        <v>292</v>
      </c>
      <c r="J935" s="5">
        <v>6</v>
      </c>
      <c r="K935" s="3" t="str" cm="1">
        <f t="array" ref="K935">_xlfn.IFS(J935&lt;=5, "0-5", J935&lt;=10, "6-10", J935&lt;=15, "11-15", J935&lt;=20, "16-20", J935&gt;20, "21+")</f>
        <v>6-10</v>
      </c>
      <c r="L935">
        <v>40</v>
      </c>
      <c r="M935" s="4">
        <f t="shared" si="490"/>
        <v>40</v>
      </c>
      <c r="N935" s="4">
        <f t="shared" si="471"/>
        <v>40</v>
      </c>
      <c r="O935" s="5">
        <v>3.2</v>
      </c>
      <c r="P935">
        <v>1</v>
      </c>
      <c r="Q935" t="s">
        <v>28</v>
      </c>
      <c r="R935" s="1">
        <v>0.95</v>
      </c>
      <c r="S935" s="6">
        <f t="shared" si="487"/>
        <v>0.95</v>
      </c>
    </row>
    <row r="936" spans="1:19" ht="13.5" x14ac:dyDescent="0.25">
      <c r="A936" t="s">
        <v>1969</v>
      </c>
      <c r="B936" t="s">
        <v>1970</v>
      </c>
      <c r="C936" t="str">
        <f t="shared" si="483"/>
        <v>Deborah Kelley</v>
      </c>
      <c r="D936" t="s">
        <v>37</v>
      </c>
      <c r="E936" s="3" t="str">
        <f t="shared" si="470"/>
        <v>Female</v>
      </c>
      <c r="F936" s="5">
        <v>38</v>
      </c>
      <c r="G936" t="s">
        <v>44</v>
      </c>
      <c r="H936" t="s">
        <v>24</v>
      </c>
      <c r="I936" t="s">
        <v>285</v>
      </c>
      <c r="J936" s="5">
        <v>11</v>
      </c>
      <c r="K936" s="3" t="str" cm="1">
        <f t="array" ref="K936">_xlfn.IFS(J936&lt;=5, "0-5", J936&lt;=10, "6-10", J936&lt;=15, "11-15", J936&lt;=20, "16-20", J936&gt;20, "21+")</f>
        <v>11-15</v>
      </c>
      <c r="N936" s="4" t="str">
        <f t="shared" si="471"/>
        <v>NA</v>
      </c>
      <c r="O936" s="5">
        <v>2.8</v>
      </c>
      <c r="R936">
        <v>91</v>
      </c>
      <c r="S936" s="6">
        <f>R936/100</f>
        <v>0.91</v>
      </c>
    </row>
    <row r="937" spans="1:19" ht="13.5" x14ac:dyDescent="0.25">
      <c r="A937" t="s">
        <v>1971</v>
      </c>
      <c r="B937" t="s">
        <v>1972</v>
      </c>
      <c r="C937" t="str">
        <f t="shared" si="483"/>
        <v>Kristina Miller</v>
      </c>
      <c r="D937" t="s">
        <v>301</v>
      </c>
      <c r="E937" s="3" t="str">
        <f t="shared" si="470"/>
        <v>Female</v>
      </c>
      <c r="F937" s="5">
        <v>26</v>
      </c>
      <c r="G937" t="s">
        <v>95</v>
      </c>
      <c r="H937" t="s">
        <v>96</v>
      </c>
      <c r="I937" t="s">
        <v>283</v>
      </c>
      <c r="J937" s="5">
        <v>8</v>
      </c>
      <c r="K937" s="3" t="str" cm="1">
        <f t="array" ref="K937">_xlfn.IFS(J937&lt;=5, "0-5", J937&lt;=10, "6-10", J937&lt;=15, "11-15", J937&lt;=20, "16-20", J937&gt;20, "21+")</f>
        <v>6-10</v>
      </c>
      <c r="L937" t="s">
        <v>78</v>
      </c>
      <c r="M937" s="4" t="str">
        <f t="shared" ref="M937" si="491">_xlfn.TEXTAFTER(L937, " ")</f>
        <v>20</v>
      </c>
      <c r="N937" s="4">
        <f t="shared" si="471"/>
        <v>20</v>
      </c>
      <c r="O937" s="5">
        <v>4.0999999999999996</v>
      </c>
      <c r="P937" t="s">
        <v>27</v>
      </c>
      <c r="Q937" t="s">
        <v>28</v>
      </c>
      <c r="R937" s="1">
        <v>0.82</v>
      </c>
      <c r="S937" s="6">
        <f t="shared" ref="S937:S939" si="492">R937</f>
        <v>0.82</v>
      </c>
    </row>
    <row r="938" spans="1:19" ht="13.5" x14ac:dyDescent="0.25">
      <c r="A938" t="s">
        <v>55</v>
      </c>
      <c r="B938" t="s">
        <v>56</v>
      </c>
      <c r="C938" t="str">
        <f t="shared" si="483"/>
        <v>Anne Hampton</v>
      </c>
      <c r="D938" t="s">
        <v>37</v>
      </c>
      <c r="E938" s="3" t="str">
        <f t="shared" si="470"/>
        <v>Female</v>
      </c>
      <c r="F938" s="5">
        <v>43</v>
      </c>
      <c r="G938" t="s">
        <v>52</v>
      </c>
      <c r="H938" t="s">
        <v>53</v>
      </c>
      <c r="I938" t="s">
        <v>25</v>
      </c>
      <c r="J938" s="5">
        <v>3</v>
      </c>
      <c r="K938" s="3" t="str" cm="1">
        <f t="array" ref="K938">_xlfn.IFS(J938&lt;=5, "0-5", J938&lt;=10, "6-10", J938&lt;=15, "11-15", J938&lt;=20, "16-20", J938&gt;20, "21+")</f>
        <v>0-5</v>
      </c>
      <c r="L938">
        <v>20</v>
      </c>
      <c r="M938" s="4">
        <f>L938</f>
        <v>20</v>
      </c>
      <c r="N938" s="4">
        <f t="shared" si="471"/>
        <v>20</v>
      </c>
      <c r="O938" s="5">
        <v>0</v>
      </c>
      <c r="P938" t="s">
        <v>57</v>
      </c>
      <c r="Q938" t="s">
        <v>28</v>
      </c>
      <c r="R938" s="1">
        <v>0.95</v>
      </c>
      <c r="S938" s="6">
        <f t="shared" si="492"/>
        <v>0.95</v>
      </c>
    </row>
    <row r="939" spans="1:19" ht="13.5" x14ac:dyDescent="0.25">
      <c r="A939" t="s">
        <v>1973</v>
      </c>
      <c r="B939" t="s">
        <v>1974</v>
      </c>
      <c r="C939" t="str">
        <f t="shared" si="483"/>
        <v>Sandra Henry</v>
      </c>
      <c r="D939" t="s">
        <v>22</v>
      </c>
      <c r="E939" s="3" t="str">
        <f t="shared" si="470"/>
        <v>Female</v>
      </c>
      <c r="F939" s="5">
        <v>21</v>
      </c>
      <c r="G939" t="s">
        <v>253</v>
      </c>
      <c r="H939" t="s">
        <v>254</v>
      </c>
      <c r="I939" t="s">
        <v>288</v>
      </c>
      <c r="J939" s="5">
        <v>0</v>
      </c>
      <c r="K939" s="3" t="str" cm="1">
        <f t="array" ref="K939">_xlfn.IFS(J939&lt;=5, "0-5", J939&lt;=10, "6-10", J939&lt;=15, "11-15", J939&lt;=20, "16-20", J939&gt;20, "21+")</f>
        <v>0-5</v>
      </c>
      <c r="N939" s="4" t="str">
        <f t="shared" si="471"/>
        <v>NA</v>
      </c>
      <c r="O939" s="5">
        <v>0</v>
      </c>
      <c r="P939">
        <v>1</v>
      </c>
      <c r="Q939" t="s">
        <v>28</v>
      </c>
      <c r="R939" s="1">
        <v>0.95</v>
      </c>
      <c r="S939" s="6">
        <f t="shared" si="492"/>
        <v>0.95</v>
      </c>
    </row>
    <row r="940" spans="1:19" ht="13.5" x14ac:dyDescent="0.25">
      <c r="A940" t="s">
        <v>1975</v>
      </c>
      <c r="B940" t="s">
        <v>1976</v>
      </c>
      <c r="C940" t="str">
        <f t="shared" si="483"/>
        <v>Tony Hester</v>
      </c>
      <c r="D940" t="s">
        <v>311</v>
      </c>
      <c r="E940" s="3" t="str">
        <f t="shared" si="470"/>
        <v>Male</v>
      </c>
      <c r="F940" s="5">
        <v>47</v>
      </c>
      <c r="G940" t="s">
        <v>62</v>
      </c>
      <c r="H940" t="s">
        <v>63</v>
      </c>
      <c r="I940" t="s">
        <v>285</v>
      </c>
      <c r="J940" s="5">
        <v>7</v>
      </c>
      <c r="K940" s="3" t="str" cm="1">
        <f t="array" ref="K940">_xlfn.IFS(J940&lt;=5, "0-5", J940&lt;=10, "6-10", J940&lt;=15, "11-15", J940&lt;=20, "16-20", J940&gt;20, "21+")</f>
        <v>6-10</v>
      </c>
      <c r="L940" t="s">
        <v>72</v>
      </c>
      <c r="M940" s="4" t="str">
        <f t="shared" ref="M940" si="493">_xlfn.TEXTAFTER(L940, " ")</f>
        <v>30</v>
      </c>
      <c r="N940" s="4">
        <f t="shared" si="471"/>
        <v>30</v>
      </c>
      <c r="R940">
        <v>69</v>
      </c>
      <c r="S940" s="6">
        <f>R940/100</f>
        <v>0.69</v>
      </c>
    </row>
    <row r="941" spans="1:19" ht="13.5" x14ac:dyDescent="0.25">
      <c r="A941" t="s">
        <v>1977</v>
      </c>
      <c r="B941" t="s">
        <v>1978</v>
      </c>
      <c r="C941" t="str">
        <f t="shared" si="483"/>
        <v>Nathan Davis</v>
      </c>
      <c r="D941" t="s">
        <v>311</v>
      </c>
      <c r="E941" s="3" t="str">
        <f t="shared" si="470"/>
        <v>Male</v>
      </c>
      <c r="F941" s="5">
        <v>35</v>
      </c>
      <c r="G941" t="s">
        <v>84</v>
      </c>
      <c r="H941" t="s">
        <v>24</v>
      </c>
      <c r="I941" t="s">
        <v>287</v>
      </c>
      <c r="J941" s="5">
        <v>6</v>
      </c>
      <c r="K941" s="3" t="str" cm="1">
        <f t="array" ref="K941">_xlfn.IFS(J941&lt;=5, "0-5", J941&lt;=10, "6-10", J941&lt;=15, "11-15", J941&lt;=20, "16-20", J941&gt;20, "21+")</f>
        <v>6-10</v>
      </c>
      <c r="L941">
        <v>40</v>
      </c>
      <c r="M941" s="4">
        <f>L941</f>
        <v>40</v>
      </c>
      <c r="N941" s="4">
        <f t="shared" si="471"/>
        <v>40</v>
      </c>
      <c r="P941" t="s">
        <v>27</v>
      </c>
      <c r="Q941" t="s">
        <v>28</v>
      </c>
      <c r="R941" s="1">
        <v>0.91</v>
      </c>
      <c r="S941" s="6">
        <f>R941</f>
        <v>0.91</v>
      </c>
    </row>
    <row r="942" spans="1:19" ht="13.5" x14ac:dyDescent="0.25">
      <c r="A942" t="s">
        <v>1979</v>
      </c>
      <c r="B942" t="s">
        <v>1980</v>
      </c>
      <c r="C942" t="str">
        <f t="shared" si="483"/>
        <v>Erica Jackson</v>
      </c>
      <c r="D942" t="s">
        <v>22</v>
      </c>
      <c r="E942" s="3" t="str">
        <f t="shared" si="470"/>
        <v>Female</v>
      </c>
      <c r="F942" s="5">
        <v>37</v>
      </c>
      <c r="G942" t="s">
        <v>104</v>
      </c>
      <c r="H942" t="s">
        <v>105</v>
      </c>
      <c r="I942" t="s">
        <v>285</v>
      </c>
      <c r="J942" s="5">
        <v>9</v>
      </c>
      <c r="K942" s="3" t="str" cm="1">
        <f t="array" ref="K942">_xlfn.IFS(J942&lt;=5, "0-5", J942&lt;=10, "6-10", J942&lt;=15, "11-15", J942&lt;=20, "16-20", J942&gt;20, "21+")</f>
        <v>6-10</v>
      </c>
      <c r="L942" s="2">
        <v>30</v>
      </c>
      <c r="M942" s="4" t="str">
        <f>SUBSTITUTE(L942, "$","")</f>
        <v>30</v>
      </c>
      <c r="N942" s="4">
        <f t="shared" si="471"/>
        <v>30</v>
      </c>
      <c r="O942" s="5">
        <v>2.7</v>
      </c>
      <c r="P942">
        <v>1</v>
      </c>
      <c r="Q942" t="s">
        <v>28</v>
      </c>
      <c r="S942" s="7"/>
    </row>
    <row r="943" spans="1:19" ht="13.5" x14ac:dyDescent="0.25">
      <c r="A943" t="s">
        <v>45</v>
      </c>
      <c r="B943" t="s">
        <v>46</v>
      </c>
      <c r="C943" t="str">
        <f t="shared" si="483"/>
        <v>Nancy Glover</v>
      </c>
      <c r="D943" t="s">
        <v>21</v>
      </c>
      <c r="E943" s="3" t="str">
        <f t="shared" si="470"/>
        <v>Female</v>
      </c>
      <c r="F943" s="5">
        <v>38</v>
      </c>
      <c r="G943" t="s">
        <v>47</v>
      </c>
      <c r="H943" t="s">
        <v>48</v>
      </c>
      <c r="I943" t="s">
        <v>25</v>
      </c>
      <c r="J943" s="5">
        <v>15</v>
      </c>
      <c r="K943" s="3" t="str" cm="1">
        <f t="array" ref="K943">_xlfn.IFS(J943&lt;=5, "0-5", J943&lt;=10, "6-10", J943&lt;=15, "11-15", J943&lt;=20, "16-20", J943&gt;20, "21+")</f>
        <v>11-15</v>
      </c>
      <c r="L943">
        <v>40</v>
      </c>
      <c r="M943" s="4">
        <f t="shared" ref="M943:M945" si="494">L943</f>
        <v>40</v>
      </c>
      <c r="N943" s="4">
        <f t="shared" si="471"/>
        <v>40</v>
      </c>
      <c r="O943" s="5">
        <v>4</v>
      </c>
      <c r="R943" s="1">
        <v>0.62</v>
      </c>
      <c r="S943" s="6">
        <f t="shared" ref="S943:S954" si="495">R943</f>
        <v>0.62</v>
      </c>
    </row>
    <row r="944" spans="1:19" ht="13.5" x14ac:dyDescent="0.25">
      <c r="A944" t="s">
        <v>1981</v>
      </c>
      <c r="B944" t="s">
        <v>1982</v>
      </c>
      <c r="C944" t="str">
        <f t="shared" si="483"/>
        <v>Richard Sanchez</v>
      </c>
      <c r="D944" t="s">
        <v>311</v>
      </c>
      <c r="E944" s="3" t="str">
        <f t="shared" si="470"/>
        <v>Male</v>
      </c>
      <c r="F944" s="5">
        <v>40</v>
      </c>
      <c r="G944" t="s">
        <v>125</v>
      </c>
      <c r="H944" t="s">
        <v>39</v>
      </c>
      <c r="I944" t="s">
        <v>291</v>
      </c>
      <c r="J944" s="5">
        <v>20</v>
      </c>
      <c r="K944" s="3" t="str" cm="1">
        <f t="array" ref="K944">_xlfn.IFS(J944&lt;=5, "0-5", J944&lt;=10, "6-10", J944&lt;=15, "11-15", J944&lt;=20, "16-20", J944&gt;20, "21+")</f>
        <v>16-20</v>
      </c>
      <c r="L944">
        <v>20</v>
      </c>
      <c r="M944" s="4">
        <f t="shared" si="494"/>
        <v>20</v>
      </c>
      <c r="N944" s="4">
        <f t="shared" si="471"/>
        <v>20</v>
      </c>
      <c r="O944" s="5">
        <v>2.5</v>
      </c>
      <c r="P944">
        <v>0</v>
      </c>
      <c r="Q944" t="s">
        <v>54</v>
      </c>
      <c r="R944" s="1">
        <v>0.81</v>
      </c>
      <c r="S944" s="6">
        <f t="shared" si="495"/>
        <v>0.81</v>
      </c>
    </row>
    <row r="945" spans="1:19" ht="13.5" x14ac:dyDescent="0.25">
      <c r="A945" t="s">
        <v>1983</v>
      </c>
      <c r="B945" t="s">
        <v>1984</v>
      </c>
      <c r="C945" t="str">
        <f t="shared" si="483"/>
        <v>Savannah Reid</v>
      </c>
      <c r="D945" t="s">
        <v>37</v>
      </c>
      <c r="E945" s="3" t="str">
        <f t="shared" si="470"/>
        <v>Female</v>
      </c>
      <c r="F945" s="5">
        <v>46</v>
      </c>
      <c r="G945" t="s">
        <v>47</v>
      </c>
      <c r="H945" t="s">
        <v>48</v>
      </c>
      <c r="I945" t="s">
        <v>291</v>
      </c>
      <c r="J945" s="5">
        <v>16</v>
      </c>
      <c r="K945" s="3" t="str" cm="1">
        <f t="array" ref="K945">_xlfn.IFS(J945&lt;=5, "0-5", J945&lt;=10, "6-10", J945&lt;=15, "11-15", J945&lt;=20, "16-20", J945&gt;20, "21+")</f>
        <v>16-20</v>
      </c>
      <c r="L945">
        <v>75</v>
      </c>
      <c r="M945" s="4">
        <f t="shared" si="494"/>
        <v>75</v>
      </c>
      <c r="N945" s="4">
        <f t="shared" si="471"/>
        <v>75</v>
      </c>
      <c r="O945" s="5">
        <v>0</v>
      </c>
      <c r="P945" t="s">
        <v>81</v>
      </c>
      <c r="Q945" t="s">
        <v>54</v>
      </c>
      <c r="R945" s="1">
        <v>0.94</v>
      </c>
      <c r="S945" s="6">
        <f t="shared" si="495"/>
        <v>0.94</v>
      </c>
    </row>
    <row r="946" spans="1:19" ht="13.5" x14ac:dyDescent="0.25">
      <c r="A946" t="s">
        <v>1985</v>
      </c>
      <c r="B946" t="s">
        <v>1986</v>
      </c>
      <c r="C946" t="str">
        <f t="shared" si="483"/>
        <v>Robert Salazar</v>
      </c>
      <c r="D946" t="s">
        <v>43</v>
      </c>
      <c r="E946" s="3" t="str">
        <f t="shared" si="470"/>
        <v>Male</v>
      </c>
      <c r="F946" s="5">
        <v>56</v>
      </c>
      <c r="G946" t="s">
        <v>117</v>
      </c>
      <c r="H946" t="s">
        <v>118</v>
      </c>
      <c r="I946" t="s">
        <v>283</v>
      </c>
      <c r="J946" s="5">
        <v>22</v>
      </c>
      <c r="K946" s="3" t="str" cm="1">
        <f t="array" ref="K946">_xlfn.IFS(J946&lt;=5, "0-5", J946&lt;=10, "6-10", J946&lt;=15, "11-15", J946&lt;=20, "16-20", J946&gt;20, "21+")</f>
        <v>21+</v>
      </c>
      <c r="L946" t="s">
        <v>72</v>
      </c>
      <c r="M946" s="4" t="str">
        <f t="shared" ref="M946" si="496">_xlfn.TEXTAFTER(L946, " ")</f>
        <v>30</v>
      </c>
      <c r="N946" s="4">
        <f t="shared" si="471"/>
        <v>30</v>
      </c>
      <c r="P946" t="s">
        <v>81</v>
      </c>
      <c r="Q946" t="s">
        <v>54</v>
      </c>
      <c r="R946" s="1">
        <v>0.95</v>
      </c>
      <c r="S946" s="6">
        <f t="shared" si="495"/>
        <v>0.95</v>
      </c>
    </row>
    <row r="947" spans="1:19" ht="13.5" x14ac:dyDescent="0.25">
      <c r="A947" t="s">
        <v>1987</v>
      </c>
      <c r="B947" t="s">
        <v>1988</v>
      </c>
      <c r="C947" t="str">
        <f t="shared" si="483"/>
        <v>Hector Greer</v>
      </c>
      <c r="D947" t="s">
        <v>43</v>
      </c>
      <c r="E947" s="3" t="str">
        <f t="shared" si="470"/>
        <v>Male</v>
      </c>
      <c r="F947" s="5">
        <v>24</v>
      </c>
      <c r="G947" t="s">
        <v>67</v>
      </c>
      <c r="H947" t="s">
        <v>68</v>
      </c>
      <c r="I947" t="s">
        <v>287</v>
      </c>
      <c r="J947" s="5">
        <v>2</v>
      </c>
      <c r="K947" s="3" t="str" cm="1">
        <f t="array" ref="K947">_xlfn.IFS(J947&lt;=5, "0-5", J947&lt;=10, "6-10", J947&lt;=15, "11-15", J947&lt;=20, "16-20", J947&gt;20, "21+")</f>
        <v>0-5</v>
      </c>
      <c r="N947" s="4" t="str">
        <f t="shared" si="471"/>
        <v>NA</v>
      </c>
      <c r="O947" s="5">
        <v>1.6</v>
      </c>
      <c r="P947" t="s">
        <v>81</v>
      </c>
      <c r="Q947" t="s">
        <v>54</v>
      </c>
      <c r="R947" s="1">
        <v>1</v>
      </c>
      <c r="S947" s="6">
        <f t="shared" si="495"/>
        <v>1</v>
      </c>
    </row>
    <row r="948" spans="1:19" ht="13.5" x14ac:dyDescent="0.25">
      <c r="A948" t="s">
        <v>41</v>
      </c>
      <c r="B948" t="s">
        <v>42</v>
      </c>
      <c r="C948" t="str">
        <f t="shared" si="483"/>
        <v>Thomas Jackson</v>
      </c>
      <c r="D948" t="s">
        <v>328</v>
      </c>
      <c r="E948" s="3" t="str">
        <f t="shared" si="470"/>
        <v>Male</v>
      </c>
      <c r="G948" t="s">
        <v>44</v>
      </c>
      <c r="H948" t="s">
        <v>24</v>
      </c>
      <c r="I948" t="s">
        <v>25</v>
      </c>
      <c r="J948" s="5">
        <v>1</v>
      </c>
      <c r="K948" s="3" t="str" cm="1">
        <f t="array" ref="K948">_xlfn.IFS(J948&lt;=5, "0-5", J948&lt;=10, "6-10", J948&lt;=15, "11-15", J948&lt;=20, "16-20", J948&gt;20, "21+")</f>
        <v>0-5</v>
      </c>
      <c r="L948">
        <v>75</v>
      </c>
      <c r="M948" s="4">
        <f t="shared" ref="M948:M949" si="497">L948</f>
        <v>75</v>
      </c>
      <c r="N948" s="4">
        <f t="shared" si="471"/>
        <v>75</v>
      </c>
      <c r="O948" s="5">
        <v>0</v>
      </c>
      <c r="P948" t="b">
        <v>1</v>
      </c>
      <c r="Q948" t="s">
        <v>28</v>
      </c>
      <c r="R948" s="1">
        <v>0.94</v>
      </c>
      <c r="S948" s="6">
        <f t="shared" si="495"/>
        <v>0.94</v>
      </c>
    </row>
    <row r="949" spans="1:19" ht="13.5" x14ac:dyDescent="0.25">
      <c r="A949" t="s">
        <v>1989</v>
      </c>
      <c r="B949" t="s">
        <v>1990</v>
      </c>
      <c r="C949" t="str">
        <f t="shared" si="483"/>
        <v>Tina Clark</v>
      </c>
      <c r="D949" t="s">
        <v>301</v>
      </c>
      <c r="E949" s="3" t="str">
        <f t="shared" si="470"/>
        <v>Female</v>
      </c>
      <c r="F949" s="5">
        <v>38</v>
      </c>
      <c r="G949" t="s">
        <v>67</v>
      </c>
      <c r="H949" t="s">
        <v>68</v>
      </c>
      <c r="I949" t="s">
        <v>285</v>
      </c>
      <c r="J949" s="5">
        <v>8</v>
      </c>
      <c r="K949" s="3" t="str" cm="1">
        <f t="array" ref="K949">_xlfn.IFS(J949&lt;=5, "0-5", J949&lt;=10, "6-10", J949&lt;=15, "11-15", J949&lt;=20, "16-20", J949&gt;20, "21+")</f>
        <v>6-10</v>
      </c>
      <c r="L949">
        <v>30</v>
      </c>
      <c r="M949" s="4">
        <f t="shared" si="497"/>
        <v>30</v>
      </c>
      <c r="N949" s="4">
        <f t="shared" si="471"/>
        <v>30</v>
      </c>
      <c r="O949" s="5">
        <v>4</v>
      </c>
      <c r="P949">
        <v>1</v>
      </c>
      <c r="Q949" t="s">
        <v>28</v>
      </c>
      <c r="R949" s="1">
        <v>0.92</v>
      </c>
      <c r="S949" s="6">
        <f t="shared" si="495"/>
        <v>0.92</v>
      </c>
    </row>
    <row r="950" spans="1:19" ht="13.5" x14ac:dyDescent="0.25">
      <c r="A950" t="s">
        <v>1991</v>
      </c>
      <c r="B950" t="s">
        <v>1992</v>
      </c>
      <c r="C950" t="str">
        <f t="shared" si="483"/>
        <v>Heather Brown</v>
      </c>
      <c r="D950" t="s">
        <v>22</v>
      </c>
      <c r="E950" s="3" t="str">
        <f t="shared" si="470"/>
        <v>Female</v>
      </c>
      <c r="F950" s="5">
        <v>28</v>
      </c>
      <c r="G950" t="s">
        <v>132</v>
      </c>
      <c r="H950" t="s">
        <v>133</v>
      </c>
      <c r="I950" t="s">
        <v>283</v>
      </c>
      <c r="J950" s="5">
        <v>8</v>
      </c>
      <c r="K950" s="3" t="str" cm="1">
        <f t="array" ref="K950">_xlfn.IFS(J950&lt;=5, "0-5", J950&lt;=10, "6-10", J950&lt;=15, "11-15", J950&lt;=20, "16-20", J950&gt;20, "21+")</f>
        <v>6-10</v>
      </c>
      <c r="L950" t="s">
        <v>112</v>
      </c>
      <c r="M950" s="4" t="str">
        <f t="shared" ref="M950" si="498">_xlfn.TEXTAFTER(L950, " ")</f>
        <v>50</v>
      </c>
      <c r="N950" s="4">
        <f t="shared" si="471"/>
        <v>50</v>
      </c>
      <c r="O950" s="5">
        <v>2.5</v>
      </c>
      <c r="P950" t="b">
        <v>1</v>
      </c>
      <c r="Q950" t="s">
        <v>28</v>
      </c>
      <c r="R950" s="1">
        <v>0.95</v>
      </c>
      <c r="S950" s="6">
        <f t="shared" si="495"/>
        <v>0.95</v>
      </c>
    </row>
    <row r="951" spans="1:19" ht="13.5" x14ac:dyDescent="0.25">
      <c r="A951" t="s">
        <v>1993</v>
      </c>
      <c r="B951" t="s">
        <v>1994</v>
      </c>
      <c r="C951" t="str">
        <f t="shared" si="483"/>
        <v>John Weaver</v>
      </c>
      <c r="D951" t="s">
        <v>43</v>
      </c>
      <c r="E951" s="3" t="str">
        <f t="shared" si="470"/>
        <v>Male</v>
      </c>
      <c r="F951" s="5">
        <v>25</v>
      </c>
      <c r="G951" t="s">
        <v>47</v>
      </c>
      <c r="H951" t="s">
        <v>48</v>
      </c>
      <c r="I951" t="s">
        <v>283</v>
      </c>
      <c r="J951" s="5">
        <v>7</v>
      </c>
      <c r="K951" s="3" t="str" cm="1">
        <f t="array" ref="K951">_xlfn.IFS(J951&lt;=5, "0-5", J951&lt;=10, "6-10", J951&lt;=15, "11-15", J951&lt;=20, "16-20", J951&gt;20, "21+")</f>
        <v>6-10</v>
      </c>
      <c r="L951" s="2">
        <v>20</v>
      </c>
      <c r="M951" s="4" t="str">
        <f>SUBSTITUTE(L951, "$","")</f>
        <v>20</v>
      </c>
      <c r="N951" s="4">
        <f t="shared" si="471"/>
        <v>20</v>
      </c>
      <c r="O951" s="5">
        <v>3.8</v>
      </c>
      <c r="R951" s="1">
        <v>0.97</v>
      </c>
      <c r="S951" s="6">
        <f t="shared" si="495"/>
        <v>0.97</v>
      </c>
    </row>
    <row r="952" spans="1:19" ht="13.5" x14ac:dyDescent="0.25">
      <c r="A952" t="s">
        <v>1995</v>
      </c>
      <c r="B952" t="s">
        <v>1996</v>
      </c>
      <c r="C952" t="str">
        <f t="shared" si="483"/>
        <v>Bradley Harris</v>
      </c>
      <c r="D952" t="s">
        <v>32</v>
      </c>
      <c r="E952" s="3" t="str">
        <f t="shared" si="470"/>
        <v>Male</v>
      </c>
      <c r="F952" s="5">
        <v>41</v>
      </c>
      <c r="G952" t="s">
        <v>152</v>
      </c>
      <c r="H952" t="s">
        <v>39</v>
      </c>
      <c r="I952" t="s">
        <v>283</v>
      </c>
      <c r="J952" s="5">
        <v>8</v>
      </c>
      <c r="K952" s="3" t="str" cm="1">
        <f t="array" ref="K952">_xlfn.IFS(J952&lt;=5, "0-5", J952&lt;=10, "6-10", J952&lt;=15, "11-15", J952&lt;=20, "16-20", J952&gt;20, "21+")</f>
        <v>6-10</v>
      </c>
      <c r="L952">
        <v>50</v>
      </c>
      <c r="M952" s="4">
        <f t="shared" ref="M952:M953" si="499">L952</f>
        <v>50</v>
      </c>
      <c r="N952" s="4">
        <f t="shared" si="471"/>
        <v>50</v>
      </c>
      <c r="O952" s="5">
        <v>4.8</v>
      </c>
      <c r="P952" t="s">
        <v>64</v>
      </c>
      <c r="Q952" t="s">
        <v>54</v>
      </c>
      <c r="R952" s="1">
        <v>0.75</v>
      </c>
      <c r="S952" s="6">
        <f t="shared" si="495"/>
        <v>0.75</v>
      </c>
    </row>
    <row r="953" spans="1:19" ht="13.5" x14ac:dyDescent="0.25">
      <c r="A953" t="s">
        <v>1997</v>
      </c>
      <c r="B953" t="s">
        <v>1998</v>
      </c>
      <c r="C953" t="str">
        <f t="shared" si="483"/>
        <v>Cassandra Macdonald</v>
      </c>
      <c r="D953" t="s">
        <v>37</v>
      </c>
      <c r="E953" s="3" t="str">
        <f t="shared" si="470"/>
        <v>Female</v>
      </c>
      <c r="F953" s="5">
        <v>45</v>
      </c>
      <c r="G953" t="s">
        <v>44</v>
      </c>
      <c r="H953" t="s">
        <v>24</v>
      </c>
      <c r="I953" t="s">
        <v>291</v>
      </c>
      <c r="J953" s="5">
        <v>6</v>
      </c>
      <c r="K953" s="3" t="str" cm="1">
        <f t="array" ref="K953">_xlfn.IFS(J953&lt;=5, "0-5", J953&lt;=10, "6-10", J953&lt;=15, "11-15", J953&lt;=20, "16-20", J953&gt;20, "21+")</f>
        <v>6-10</v>
      </c>
      <c r="L953">
        <v>40</v>
      </c>
      <c r="M953" s="4">
        <f t="shared" si="499"/>
        <v>40</v>
      </c>
      <c r="N953" s="4">
        <f t="shared" si="471"/>
        <v>40</v>
      </c>
      <c r="O953" s="5">
        <v>2</v>
      </c>
      <c r="P953">
        <v>1</v>
      </c>
      <c r="Q953" t="s">
        <v>28</v>
      </c>
      <c r="R953" s="1">
        <v>0.78</v>
      </c>
      <c r="S953" s="6">
        <f t="shared" si="495"/>
        <v>0.78</v>
      </c>
    </row>
    <row r="954" spans="1:19" ht="13.5" x14ac:dyDescent="0.25">
      <c r="A954" t="s">
        <v>1999</v>
      </c>
      <c r="B954" t="s">
        <v>2000</v>
      </c>
      <c r="C954" t="str">
        <f t="shared" si="483"/>
        <v>Matthew White</v>
      </c>
      <c r="D954" t="s">
        <v>43</v>
      </c>
      <c r="E954" s="3" t="str">
        <f t="shared" si="470"/>
        <v>Male</v>
      </c>
      <c r="F954" s="5">
        <v>47</v>
      </c>
      <c r="G954" t="s">
        <v>67</v>
      </c>
      <c r="H954" t="s">
        <v>68</v>
      </c>
      <c r="I954" t="s">
        <v>283</v>
      </c>
      <c r="J954" s="5">
        <v>16</v>
      </c>
      <c r="K954" s="3" t="str" cm="1">
        <f t="array" ref="K954">_xlfn.IFS(J954&lt;=5, "0-5", J954&lt;=10, "6-10", J954&lt;=15, "11-15", J954&lt;=20, "16-20", J954&gt;20, "21+")</f>
        <v>16-20</v>
      </c>
      <c r="L954" s="2">
        <v>100</v>
      </c>
      <c r="M954" s="4" t="str">
        <f>SUBSTITUTE(L954, "$","")</f>
        <v>100</v>
      </c>
      <c r="N954" s="4">
        <f t="shared" si="471"/>
        <v>100</v>
      </c>
      <c r="O954" s="5">
        <v>3.3</v>
      </c>
      <c r="P954">
        <v>0</v>
      </c>
      <c r="Q954" t="s">
        <v>54</v>
      </c>
      <c r="R954" s="1">
        <v>0.65</v>
      </c>
      <c r="S954" s="6">
        <f t="shared" si="495"/>
        <v>0.65</v>
      </c>
    </row>
    <row r="955" spans="1:19" ht="13.5" x14ac:dyDescent="0.25">
      <c r="A955" t="s">
        <v>2001</v>
      </c>
      <c r="B955" t="s">
        <v>2002</v>
      </c>
      <c r="C955" t="str">
        <f t="shared" si="483"/>
        <v>Miss Kimberly Marshall</v>
      </c>
      <c r="D955" t="s">
        <v>301</v>
      </c>
      <c r="E955" s="3" t="str">
        <f t="shared" si="470"/>
        <v>Female</v>
      </c>
      <c r="F955" s="5">
        <v>59</v>
      </c>
      <c r="G955" t="s">
        <v>152</v>
      </c>
      <c r="H955" t="s">
        <v>39</v>
      </c>
      <c r="I955" t="s">
        <v>291</v>
      </c>
      <c r="J955" s="5">
        <v>40</v>
      </c>
      <c r="K955" s="3" t="str" cm="1">
        <f t="array" ref="K955">_xlfn.IFS(J955&lt;=5, "0-5", J955&lt;=10, "6-10", J955&lt;=15, "11-15", J955&lt;=20, "16-20", J955&gt;20, "21+")</f>
        <v>21+</v>
      </c>
      <c r="L955">
        <v>40</v>
      </c>
      <c r="M955" s="4">
        <f>L955</f>
        <v>40</v>
      </c>
      <c r="N955" s="4">
        <f t="shared" si="471"/>
        <v>40</v>
      </c>
      <c r="O955" s="5">
        <v>2.5</v>
      </c>
      <c r="P955" t="b">
        <v>1</v>
      </c>
      <c r="Q955" t="s">
        <v>28</v>
      </c>
      <c r="R955">
        <v>70</v>
      </c>
      <c r="S955" s="6">
        <f t="shared" ref="S955:S956" si="500">R955/100</f>
        <v>0.7</v>
      </c>
    </row>
    <row r="956" spans="1:19" ht="13.5" x14ac:dyDescent="0.25">
      <c r="A956" t="s">
        <v>2003</v>
      </c>
      <c r="B956" t="s">
        <v>2004</v>
      </c>
      <c r="C956" t="str">
        <f t="shared" si="483"/>
        <v>Laura Thompson</v>
      </c>
      <c r="D956" t="s">
        <v>22</v>
      </c>
      <c r="E956" s="3" t="str">
        <f t="shared" si="470"/>
        <v>Female</v>
      </c>
      <c r="F956" s="5">
        <v>25</v>
      </c>
      <c r="G956" t="s">
        <v>125</v>
      </c>
      <c r="H956" t="s">
        <v>39</v>
      </c>
      <c r="I956" t="s">
        <v>292</v>
      </c>
      <c r="J956" s="5">
        <v>6</v>
      </c>
      <c r="K956" s="3" t="str" cm="1">
        <f t="array" ref="K956">_xlfn.IFS(J956&lt;=5, "0-5", J956&lt;=10, "6-10", J956&lt;=15, "11-15", J956&lt;=20, "16-20", J956&gt;20, "21+")</f>
        <v>6-10</v>
      </c>
      <c r="L956" s="2">
        <v>100</v>
      </c>
      <c r="M956" s="4" t="str">
        <f>SUBSTITUTE(L956, "$","")</f>
        <v>100</v>
      </c>
      <c r="N956" s="4">
        <f t="shared" si="471"/>
        <v>100</v>
      </c>
      <c r="P956" t="s">
        <v>57</v>
      </c>
      <c r="Q956" t="s">
        <v>28</v>
      </c>
      <c r="R956">
        <v>78</v>
      </c>
      <c r="S956" s="6">
        <f t="shared" si="500"/>
        <v>0.78</v>
      </c>
    </row>
    <row r="957" spans="1:19" ht="13.5" x14ac:dyDescent="0.25">
      <c r="A957" t="s">
        <v>2005</v>
      </c>
      <c r="B957" t="s">
        <v>2006</v>
      </c>
      <c r="C957" t="str">
        <f t="shared" si="483"/>
        <v>Nathan Soto</v>
      </c>
      <c r="D957" t="s">
        <v>32</v>
      </c>
      <c r="E957" s="3" t="str">
        <f t="shared" si="470"/>
        <v>Male</v>
      </c>
      <c r="F957" s="5">
        <v>27</v>
      </c>
      <c r="G957" t="s">
        <v>38</v>
      </c>
      <c r="H957" t="s">
        <v>39</v>
      </c>
      <c r="I957" t="s">
        <v>290</v>
      </c>
      <c r="J957" s="5">
        <v>3</v>
      </c>
      <c r="K957" s="3" t="str" cm="1">
        <f t="array" ref="K957">_xlfn.IFS(J957&lt;=5, "0-5", J957&lt;=10, "6-10", J957&lt;=15, "11-15", J957&lt;=20, "16-20", J957&gt;20, "21+")</f>
        <v>0-5</v>
      </c>
      <c r="L957" t="s">
        <v>112</v>
      </c>
      <c r="M957" s="4" t="str">
        <f t="shared" ref="M957:M958" si="501">_xlfn.TEXTAFTER(L957, " ")</f>
        <v>50</v>
      </c>
      <c r="N957" s="4">
        <f t="shared" si="471"/>
        <v>50</v>
      </c>
      <c r="P957">
        <v>1</v>
      </c>
      <c r="Q957" t="s">
        <v>28</v>
      </c>
      <c r="R957" s="1">
        <v>0.96</v>
      </c>
      <c r="S957" s="6">
        <f t="shared" ref="S957:S960" si="502">R957</f>
        <v>0.96</v>
      </c>
    </row>
    <row r="958" spans="1:19" ht="13.5" x14ac:dyDescent="0.25">
      <c r="A958" t="s">
        <v>35</v>
      </c>
      <c r="B958" t="s">
        <v>36</v>
      </c>
      <c r="C958" t="str">
        <f t="shared" si="483"/>
        <v>Rhonda Hines</v>
      </c>
      <c r="D958" t="s">
        <v>301</v>
      </c>
      <c r="E958" s="3" t="str">
        <f t="shared" si="470"/>
        <v>Female</v>
      </c>
      <c r="F958" s="5">
        <v>57</v>
      </c>
      <c r="G958" t="s">
        <v>38</v>
      </c>
      <c r="H958" t="s">
        <v>39</v>
      </c>
      <c r="I958" t="s">
        <v>25</v>
      </c>
      <c r="J958" s="5">
        <v>5</v>
      </c>
      <c r="K958" s="3" t="str" cm="1">
        <f t="array" ref="K958">_xlfn.IFS(J958&lt;=5, "0-5", J958&lt;=10, "6-10", J958&lt;=15, "11-15", J958&lt;=20, "16-20", J958&gt;20, "21+")</f>
        <v>0-5</v>
      </c>
      <c r="L958" t="s">
        <v>40</v>
      </c>
      <c r="M958" s="4" t="str">
        <f t="shared" si="501"/>
        <v>100</v>
      </c>
      <c r="N958" s="4">
        <f t="shared" si="471"/>
        <v>100</v>
      </c>
      <c r="O958" s="5">
        <v>0</v>
      </c>
      <c r="P958">
        <v>1</v>
      </c>
      <c r="Q958" t="s">
        <v>28</v>
      </c>
      <c r="R958" s="1">
        <v>0.8</v>
      </c>
      <c r="S958" s="6">
        <f t="shared" si="502"/>
        <v>0.8</v>
      </c>
    </row>
    <row r="959" spans="1:19" ht="13.5" x14ac:dyDescent="0.25">
      <c r="A959" t="s">
        <v>2007</v>
      </c>
      <c r="B959" t="s">
        <v>2008</v>
      </c>
      <c r="C959" t="str">
        <f t="shared" si="483"/>
        <v>Gabrielle Bowman</v>
      </c>
      <c r="D959" t="s">
        <v>301</v>
      </c>
      <c r="E959" s="3" t="str">
        <f t="shared" si="470"/>
        <v>Female</v>
      </c>
      <c r="F959" s="5">
        <v>34</v>
      </c>
      <c r="G959" t="s">
        <v>67</v>
      </c>
      <c r="H959" t="s">
        <v>68</v>
      </c>
      <c r="I959" t="s">
        <v>286</v>
      </c>
      <c r="J959" s="5">
        <v>12</v>
      </c>
      <c r="K959" s="3" t="str" cm="1">
        <f t="array" ref="K959">_xlfn.IFS(J959&lt;=5, "0-5", J959&lt;=10, "6-10", J959&lt;=15, "11-15", J959&lt;=20, "16-20", J959&gt;20, "21+")</f>
        <v>11-15</v>
      </c>
      <c r="L959" s="2">
        <v>20</v>
      </c>
      <c r="M959" s="4" t="str">
        <f>SUBSTITUTE(L959, "$","")</f>
        <v>20</v>
      </c>
      <c r="N959" s="4">
        <f t="shared" si="471"/>
        <v>20</v>
      </c>
      <c r="O959" s="5">
        <v>1.6</v>
      </c>
      <c r="P959" t="s">
        <v>27</v>
      </c>
      <c r="Q959" t="s">
        <v>28</v>
      </c>
      <c r="R959" s="1">
        <v>0.64</v>
      </c>
      <c r="S959" s="6">
        <f t="shared" si="502"/>
        <v>0.64</v>
      </c>
    </row>
    <row r="960" spans="1:19" ht="13.5" x14ac:dyDescent="0.25">
      <c r="A960" t="s">
        <v>2009</v>
      </c>
      <c r="B960" t="s">
        <v>2010</v>
      </c>
      <c r="C960" t="str">
        <f t="shared" si="483"/>
        <v>Julian Edwards</v>
      </c>
      <c r="D960" t="s">
        <v>328</v>
      </c>
      <c r="E960" s="3" t="str">
        <f t="shared" si="470"/>
        <v>Male</v>
      </c>
      <c r="F960" s="5">
        <v>55</v>
      </c>
      <c r="G960" t="s">
        <v>132</v>
      </c>
      <c r="H960" t="s">
        <v>133</v>
      </c>
      <c r="I960" t="s">
        <v>286</v>
      </c>
      <c r="J960" s="5">
        <v>33</v>
      </c>
      <c r="K960" s="3" t="str" cm="1">
        <f t="array" ref="K960">_xlfn.IFS(J960&lt;=5, "0-5", J960&lt;=10, "6-10", J960&lt;=15, "11-15", J960&lt;=20, "16-20", J960&gt;20, "21+")</f>
        <v>21+</v>
      </c>
      <c r="L960">
        <v>50</v>
      </c>
      <c r="M960" s="4">
        <f t="shared" ref="M960:M961" si="503">L960</f>
        <v>50</v>
      </c>
      <c r="N960" s="4">
        <f t="shared" si="471"/>
        <v>50</v>
      </c>
      <c r="O960" s="5">
        <v>0</v>
      </c>
      <c r="P960" t="b">
        <v>0</v>
      </c>
      <c r="Q960" t="s">
        <v>54</v>
      </c>
      <c r="R960" s="1">
        <v>0.92</v>
      </c>
      <c r="S960" s="6">
        <f t="shared" si="502"/>
        <v>0.92</v>
      </c>
    </row>
    <row r="961" spans="1:19" ht="13.5" x14ac:dyDescent="0.25">
      <c r="A961" t="s">
        <v>2011</v>
      </c>
      <c r="B961" t="s">
        <v>2012</v>
      </c>
      <c r="C961" t="str">
        <f t="shared" si="483"/>
        <v>Nicholas Scott</v>
      </c>
      <c r="D961" t="s">
        <v>31</v>
      </c>
      <c r="E961" s="3" t="str">
        <f t="shared" si="470"/>
        <v>Male</v>
      </c>
      <c r="F961" s="5">
        <v>21</v>
      </c>
      <c r="G961" t="s">
        <v>117</v>
      </c>
      <c r="H961" t="s">
        <v>118</v>
      </c>
      <c r="I961" t="s">
        <v>292</v>
      </c>
      <c r="J961" s="5">
        <v>1</v>
      </c>
      <c r="K961" s="3" t="str" cm="1">
        <f t="array" ref="K961">_xlfn.IFS(J961&lt;=5, "0-5", J961&lt;=10, "6-10", J961&lt;=15, "11-15", J961&lt;=20, "16-20", J961&gt;20, "21+")</f>
        <v>0-5</v>
      </c>
      <c r="L961">
        <v>100</v>
      </c>
      <c r="M961" s="4">
        <f t="shared" si="503"/>
        <v>100</v>
      </c>
      <c r="N961" s="4">
        <f t="shared" si="471"/>
        <v>100</v>
      </c>
      <c r="O961" s="5">
        <v>0</v>
      </c>
      <c r="P961">
        <v>1</v>
      </c>
      <c r="Q961" t="s">
        <v>28</v>
      </c>
      <c r="S961" s="7"/>
    </row>
    <row r="962" spans="1:19" ht="13.5" x14ac:dyDescent="0.25">
      <c r="A962" t="s">
        <v>2013</v>
      </c>
      <c r="B962" t="s">
        <v>2014</v>
      </c>
      <c r="C962" t="str">
        <f t="shared" si="483"/>
        <v>Daniel Green</v>
      </c>
      <c r="D962" t="s">
        <v>311</v>
      </c>
      <c r="E962" s="3" t="str">
        <f t="shared" si="470"/>
        <v>Male</v>
      </c>
      <c r="F962" s="5">
        <v>53</v>
      </c>
      <c r="G962" t="s">
        <v>52</v>
      </c>
      <c r="H962" t="s">
        <v>53</v>
      </c>
      <c r="I962" t="s">
        <v>283</v>
      </c>
      <c r="J962" s="5">
        <v>27</v>
      </c>
      <c r="K962" s="3" t="str" cm="1">
        <f t="array" ref="K962">_xlfn.IFS(J962&lt;=5, "0-5", J962&lt;=10, "6-10", J962&lt;=15, "11-15", J962&lt;=20, "16-20", J962&gt;20, "21+")</f>
        <v>21+</v>
      </c>
      <c r="L962" t="s">
        <v>78</v>
      </c>
      <c r="M962" s="4" t="str">
        <f t="shared" ref="M962" si="504">_xlfn.TEXTAFTER(L962, " ")</f>
        <v>20</v>
      </c>
      <c r="N962" s="4">
        <f t="shared" si="471"/>
        <v>20</v>
      </c>
      <c r="O962" s="5">
        <v>4.7</v>
      </c>
      <c r="P962" t="s">
        <v>27</v>
      </c>
      <c r="Q962" t="s">
        <v>28</v>
      </c>
      <c r="R962">
        <v>71</v>
      </c>
      <c r="S962" s="6">
        <f>R962/100</f>
        <v>0.71</v>
      </c>
    </row>
    <row r="963" spans="1:19" ht="13.5" x14ac:dyDescent="0.25">
      <c r="A963" t="s">
        <v>2015</v>
      </c>
      <c r="B963" t="s">
        <v>2016</v>
      </c>
      <c r="C963" t="str">
        <f t="shared" si="483"/>
        <v>Catherine Johnston</v>
      </c>
      <c r="D963" t="s">
        <v>37</v>
      </c>
      <c r="E963" s="3" t="str">
        <f t="shared" ref="E963:E1001" si="505">IF(LOWER(LEFT(D963,1)) = "f", "Female", "Male")</f>
        <v>Female</v>
      </c>
      <c r="F963" s="5">
        <v>21</v>
      </c>
      <c r="G963" t="s">
        <v>33</v>
      </c>
      <c r="H963" t="s">
        <v>34</v>
      </c>
      <c r="I963" t="s">
        <v>286</v>
      </c>
      <c r="J963" s="5">
        <v>1</v>
      </c>
      <c r="K963" s="3" t="str" cm="1">
        <f t="array" ref="K963">_xlfn.IFS(J963&lt;=5, "0-5", J963&lt;=10, "6-10", J963&lt;=15, "11-15", J963&lt;=20, "16-20", J963&gt;20, "21+")</f>
        <v>0-5</v>
      </c>
      <c r="L963" s="2">
        <v>100</v>
      </c>
      <c r="M963" s="4" t="str">
        <f>SUBSTITUTE(L963, "$","")</f>
        <v>100</v>
      </c>
      <c r="N963" s="4">
        <f t="shared" ref="N963:N1001" si="506">IF(M963="","NA",ROUND(M963,0))</f>
        <v>100</v>
      </c>
      <c r="O963" s="5">
        <v>0</v>
      </c>
      <c r="P963" t="s">
        <v>27</v>
      </c>
      <c r="Q963" t="s">
        <v>28</v>
      </c>
      <c r="R963" s="1">
        <v>0.95</v>
      </c>
      <c r="S963" s="6">
        <f t="shared" ref="S963:S965" si="507">R963</f>
        <v>0.95</v>
      </c>
    </row>
    <row r="964" spans="1:19" ht="13.5" x14ac:dyDescent="0.25">
      <c r="A964" t="s">
        <v>2017</v>
      </c>
      <c r="B964" t="s">
        <v>2018</v>
      </c>
      <c r="C964" t="str">
        <f t="shared" si="483"/>
        <v>Brenda Koch</v>
      </c>
      <c r="D964" t="s">
        <v>21</v>
      </c>
      <c r="E964" s="3" t="str">
        <f t="shared" si="505"/>
        <v>Female</v>
      </c>
      <c r="F964" s="5">
        <v>36</v>
      </c>
      <c r="G964" t="s">
        <v>47</v>
      </c>
      <c r="H964" t="s">
        <v>48</v>
      </c>
      <c r="I964" t="s">
        <v>290</v>
      </c>
      <c r="K964" s="3" t="str" cm="1">
        <f t="array" ref="K964">_xlfn.IFS(J964&lt;=5, "0-5", J964&lt;=10, "6-10", J964&lt;=15, "11-15", J964&lt;=20, "16-20", J964&gt;20, "21+")</f>
        <v>0-5</v>
      </c>
      <c r="L964">
        <v>20</v>
      </c>
      <c r="M964" s="4">
        <f>L964</f>
        <v>20</v>
      </c>
      <c r="N964" s="4">
        <f t="shared" si="506"/>
        <v>20</v>
      </c>
      <c r="O964" s="5">
        <v>4.0999999999999996</v>
      </c>
      <c r="P964" t="s">
        <v>64</v>
      </c>
      <c r="Q964" t="s">
        <v>54</v>
      </c>
      <c r="R964" s="1">
        <v>0.86</v>
      </c>
      <c r="S964" s="6">
        <f t="shared" si="507"/>
        <v>0.86</v>
      </c>
    </row>
    <row r="965" spans="1:19" ht="13.5" x14ac:dyDescent="0.25">
      <c r="A965" t="s">
        <v>29</v>
      </c>
      <c r="B965" t="s">
        <v>30</v>
      </c>
      <c r="C965" t="str">
        <f>_xlfn.TEXTAFTER(B965,". ",)</f>
        <v>Robert Meza</v>
      </c>
      <c r="D965" t="s">
        <v>31</v>
      </c>
      <c r="E965" s="3" t="str">
        <f t="shared" si="505"/>
        <v>Male</v>
      </c>
      <c r="F965" s="5">
        <v>40</v>
      </c>
      <c r="G965" t="s">
        <v>33</v>
      </c>
      <c r="H965" t="s">
        <v>34</v>
      </c>
      <c r="I965" t="s">
        <v>25</v>
      </c>
      <c r="J965" s="5">
        <v>2</v>
      </c>
      <c r="K965" s="3" t="str" cm="1">
        <f t="array" ref="K965">_xlfn.IFS(J965&lt;=5, "0-5", J965&lt;=10, "6-10", J965&lt;=15, "11-15", J965&lt;=20, "16-20", J965&gt;20, "21+")</f>
        <v>0-5</v>
      </c>
      <c r="L965" s="2">
        <v>30</v>
      </c>
      <c r="M965" s="4" t="str">
        <f>SUBSTITUTE(L965, "$","")</f>
        <v>30</v>
      </c>
      <c r="N965" s="4">
        <f t="shared" si="506"/>
        <v>30</v>
      </c>
      <c r="O965" s="5">
        <v>1.3</v>
      </c>
      <c r="P965">
        <v>1</v>
      </c>
      <c r="Q965" t="s">
        <v>28</v>
      </c>
      <c r="R965" s="1">
        <v>0.77</v>
      </c>
      <c r="S965" s="6">
        <f t="shared" si="507"/>
        <v>0.77</v>
      </c>
    </row>
    <row r="966" spans="1:19" ht="13.5" x14ac:dyDescent="0.25">
      <c r="A966" t="s">
        <v>2019</v>
      </c>
      <c r="B966" t="s">
        <v>2020</v>
      </c>
      <c r="C966" t="str">
        <f t="shared" ref="C966:C1001" si="508">B966</f>
        <v>Latoya Brown</v>
      </c>
      <c r="D966" t="s">
        <v>22</v>
      </c>
      <c r="E966" s="3" t="str">
        <f t="shared" si="505"/>
        <v>Female</v>
      </c>
      <c r="F966" s="5">
        <v>59</v>
      </c>
      <c r="G966" t="s">
        <v>152</v>
      </c>
      <c r="H966" t="s">
        <v>39</v>
      </c>
      <c r="I966" t="s">
        <v>286</v>
      </c>
      <c r="J966" s="5">
        <v>40</v>
      </c>
      <c r="K966" s="3" t="str" cm="1">
        <f t="array" ref="K966">_xlfn.IFS(J966&lt;=5, "0-5", J966&lt;=10, "6-10", J966&lt;=15, "11-15", J966&lt;=20, "16-20", J966&gt;20, "21+")</f>
        <v>21+</v>
      </c>
      <c r="L966">
        <v>100</v>
      </c>
      <c r="M966" s="4">
        <f>L966</f>
        <v>100</v>
      </c>
      <c r="N966" s="4">
        <f t="shared" si="506"/>
        <v>100</v>
      </c>
      <c r="O966" s="5">
        <v>2.6</v>
      </c>
      <c r="S966" s="7"/>
    </row>
    <row r="967" spans="1:19" ht="13.5" x14ac:dyDescent="0.25">
      <c r="A967" t="s">
        <v>2021</v>
      </c>
      <c r="B967" t="s">
        <v>2022</v>
      </c>
      <c r="C967" t="str">
        <f t="shared" si="508"/>
        <v>David Osborne III</v>
      </c>
      <c r="D967" t="s">
        <v>43</v>
      </c>
      <c r="E967" s="3" t="str">
        <f t="shared" si="505"/>
        <v>Male</v>
      </c>
      <c r="F967" s="5">
        <v>45</v>
      </c>
      <c r="G967" t="s">
        <v>52</v>
      </c>
      <c r="H967" t="s">
        <v>53</v>
      </c>
      <c r="I967" t="s">
        <v>288</v>
      </c>
      <c r="J967" s="5">
        <v>4</v>
      </c>
      <c r="K967" s="3" t="str" cm="1">
        <f t="array" ref="K967">_xlfn.IFS(J967&lt;=5, "0-5", J967&lt;=10, "6-10", J967&lt;=15, "11-15", J967&lt;=20, "16-20", J967&gt;20, "21+")</f>
        <v>0-5</v>
      </c>
      <c r="L967" s="2">
        <v>20</v>
      </c>
      <c r="M967" s="4" t="str">
        <f>SUBSTITUTE(L967, "$","")</f>
        <v>20</v>
      </c>
      <c r="N967" s="4">
        <f t="shared" si="506"/>
        <v>20</v>
      </c>
      <c r="O967" s="5">
        <v>2.7</v>
      </c>
      <c r="R967" s="1">
        <v>0.72</v>
      </c>
      <c r="S967" s="6">
        <f t="shared" ref="S967:S969" si="509">R967</f>
        <v>0.72</v>
      </c>
    </row>
    <row r="968" spans="1:19" ht="13.5" x14ac:dyDescent="0.25">
      <c r="A968" t="s">
        <v>2023</v>
      </c>
      <c r="B968" t="s">
        <v>2024</v>
      </c>
      <c r="C968" t="str">
        <f t="shared" si="508"/>
        <v>David Hooper</v>
      </c>
      <c r="D968" t="s">
        <v>311</v>
      </c>
      <c r="E968" s="3" t="str">
        <f t="shared" si="505"/>
        <v>Male</v>
      </c>
      <c r="F968" s="5">
        <v>44</v>
      </c>
      <c r="G968" t="s">
        <v>62</v>
      </c>
      <c r="H968" t="s">
        <v>63</v>
      </c>
      <c r="I968" t="s">
        <v>284</v>
      </c>
      <c r="J968" s="5">
        <v>9</v>
      </c>
      <c r="K968" s="3" t="str" cm="1">
        <f t="array" ref="K968">_xlfn.IFS(J968&lt;=5, "0-5", J968&lt;=10, "6-10", J968&lt;=15, "11-15", J968&lt;=20, "16-20", J968&gt;20, "21+")</f>
        <v>6-10</v>
      </c>
      <c r="L968">
        <v>40</v>
      </c>
      <c r="M968" s="4">
        <f t="shared" ref="M968:M970" si="510">L968</f>
        <v>40</v>
      </c>
      <c r="N968" s="4">
        <f t="shared" si="506"/>
        <v>40</v>
      </c>
      <c r="P968">
        <v>0</v>
      </c>
      <c r="Q968" t="s">
        <v>54</v>
      </c>
      <c r="R968" s="1">
        <v>0.7</v>
      </c>
      <c r="S968" s="6">
        <f t="shared" si="509"/>
        <v>0.7</v>
      </c>
    </row>
    <row r="969" spans="1:19" ht="13.5" x14ac:dyDescent="0.25">
      <c r="A969" t="s">
        <v>2025</v>
      </c>
      <c r="B969" t="s">
        <v>2026</v>
      </c>
      <c r="C969" t="str">
        <f t="shared" si="508"/>
        <v>Sarah Miller</v>
      </c>
      <c r="D969" t="s">
        <v>21</v>
      </c>
      <c r="E969" s="3" t="str">
        <f t="shared" si="505"/>
        <v>Female</v>
      </c>
      <c r="F969" s="5">
        <v>36</v>
      </c>
      <c r="G969" t="s">
        <v>152</v>
      </c>
      <c r="H969" t="s">
        <v>39</v>
      </c>
      <c r="I969" t="s">
        <v>288</v>
      </c>
      <c r="J969" s="5">
        <v>13</v>
      </c>
      <c r="K969" s="3" t="str" cm="1">
        <f t="array" ref="K969">_xlfn.IFS(J969&lt;=5, "0-5", J969&lt;=10, "6-10", J969&lt;=15, "11-15", J969&lt;=20, "16-20", J969&gt;20, "21+")</f>
        <v>11-15</v>
      </c>
      <c r="L969">
        <v>30</v>
      </c>
      <c r="M969" s="4">
        <f t="shared" si="510"/>
        <v>30</v>
      </c>
      <c r="N969" s="4">
        <f t="shared" si="506"/>
        <v>30</v>
      </c>
      <c r="O969" s="5">
        <v>3.6</v>
      </c>
      <c r="P969">
        <v>0</v>
      </c>
      <c r="Q969" t="s">
        <v>54</v>
      </c>
      <c r="R969" s="1">
        <v>0.86</v>
      </c>
      <c r="S969" s="6">
        <f t="shared" si="509"/>
        <v>0.86</v>
      </c>
    </row>
    <row r="970" spans="1:19" ht="13.5" x14ac:dyDescent="0.25">
      <c r="A970" t="s">
        <v>2027</v>
      </c>
      <c r="B970" t="s">
        <v>2028</v>
      </c>
      <c r="C970" t="str">
        <f t="shared" si="508"/>
        <v>Lisa Werner MD</v>
      </c>
      <c r="D970" t="s">
        <v>22</v>
      </c>
      <c r="E970" s="3" t="str">
        <f t="shared" si="505"/>
        <v>Female</v>
      </c>
      <c r="F970" s="5">
        <v>26</v>
      </c>
      <c r="G970" t="s">
        <v>146</v>
      </c>
      <c r="H970" t="s">
        <v>147</v>
      </c>
      <c r="I970" t="s">
        <v>287</v>
      </c>
      <c r="J970" s="5">
        <v>1</v>
      </c>
      <c r="K970" s="3" t="str" cm="1">
        <f t="array" ref="K970">_xlfn.IFS(J970&lt;=5, "0-5", J970&lt;=10, "6-10", J970&lt;=15, "11-15", J970&lt;=20, "16-20", J970&gt;20, "21+")</f>
        <v>0-5</v>
      </c>
      <c r="L970">
        <v>75</v>
      </c>
      <c r="M970" s="4">
        <f t="shared" si="510"/>
        <v>75</v>
      </c>
      <c r="N970" s="4">
        <f t="shared" si="506"/>
        <v>75</v>
      </c>
      <c r="O970" s="5">
        <v>3</v>
      </c>
      <c r="P970">
        <v>1</v>
      </c>
      <c r="Q970" t="s">
        <v>28</v>
      </c>
      <c r="S970" s="7"/>
    </row>
    <row r="971" spans="1:19" ht="13.5" x14ac:dyDescent="0.25">
      <c r="A971" t="s">
        <v>2029</v>
      </c>
      <c r="B971" t="s">
        <v>2030</v>
      </c>
      <c r="C971" t="str">
        <f t="shared" si="508"/>
        <v>Eric Jimenez</v>
      </c>
      <c r="D971" t="s">
        <v>43</v>
      </c>
      <c r="E971" s="3" t="str">
        <f t="shared" si="505"/>
        <v>Male</v>
      </c>
      <c r="F971" s="5">
        <v>49</v>
      </c>
      <c r="G971" t="s">
        <v>146</v>
      </c>
      <c r="H971" t="s">
        <v>147</v>
      </c>
      <c r="I971" t="s">
        <v>290</v>
      </c>
      <c r="J971" s="5">
        <v>1</v>
      </c>
      <c r="K971" s="3" t="str" cm="1">
        <f t="array" ref="K971">_xlfn.IFS(J971&lt;=5, "0-5", J971&lt;=10, "6-10", J971&lt;=15, "11-15", J971&lt;=20, "16-20", J971&gt;20, "21+")</f>
        <v>0-5</v>
      </c>
      <c r="N971" s="4" t="str">
        <f t="shared" si="506"/>
        <v>NA</v>
      </c>
      <c r="O971" s="5">
        <v>0</v>
      </c>
      <c r="P971">
        <v>0</v>
      </c>
      <c r="Q971" t="s">
        <v>54</v>
      </c>
      <c r="R971" s="1">
        <v>0.82</v>
      </c>
      <c r="S971" s="6">
        <f t="shared" ref="S971:S977" si="511">R971</f>
        <v>0.82</v>
      </c>
    </row>
    <row r="972" spans="1:19" ht="13.5" x14ac:dyDescent="0.25">
      <c r="A972" t="s">
        <v>2031</v>
      </c>
      <c r="B972" t="s">
        <v>2032</v>
      </c>
      <c r="C972" t="str">
        <f t="shared" si="508"/>
        <v>Jay Bush</v>
      </c>
      <c r="D972" t="s">
        <v>43</v>
      </c>
      <c r="E972" s="3" t="str">
        <f t="shared" si="505"/>
        <v>Male</v>
      </c>
      <c r="F972" s="5">
        <v>29</v>
      </c>
      <c r="G972" t="s">
        <v>132</v>
      </c>
      <c r="H972" t="s">
        <v>133</v>
      </c>
      <c r="I972" t="s">
        <v>285</v>
      </c>
      <c r="J972" s="5">
        <v>3</v>
      </c>
      <c r="K972" s="3" t="str" cm="1">
        <f t="array" ref="K972">_xlfn.IFS(J972&lt;=5, "0-5", J972&lt;=10, "6-10", J972&lt;=15, "11-15", J972&lt;=20, "16-20", J972&gt;20, "21+")</f>
        <v>0-5</v>
      </c>
      <c r="L972" t="s">
        <v>99</v>
      </c>
      <c r="M972" s="4" t="str">
        <f t="shared" ref="M972" si="512">_xlfn.TEXTAFTER(L972, " ")</f>
        <v>40</v>
      </c>
      <c r="N972" s="4">
        <f t="shared" si="506"/>
        <v>40</v>
      </c>
      <c r="O972" s="5">
        <v>0</v>
      </c>
      <c r="P972" t="b">
        <v>1</v>
      </c>
      <c r="Q972" t="s">
        <v>28</v>
      </c>
      <c r="R972" s="1">
        <v>0.81</v>
      </c>
      <c r="S972" s="6">
        <f t="shared" si="511"/>
        <v>0.81</v>
      </c>
    </row>
    <row r="973" spans="1:19" ht="13.5" x14ac:dyDescent="0.25">
      <c r="A973" t="s">
        <v>2033</v>
      </c>
      <c r="B973" t="s">
        <v>2034</v>
      </c>
      <c r="C973" t="str">
        <f t="shared" si="508"/>
        <v>Johnny Rice</v>
      </c>
      <c r="D973" t="s">
        <v>43</v>
      </c>
      <c r="E973" s="3" t="str">
        <f t="shared" si="505"/>
        <v>Male</v>
      </c>
      <c r="F973" s="5">
        <v>32</v>
      </c>
      <c r="G973" t="s">
        <v>132</v>
      </c>
      <c r="H973" t="s">
        <v>133</v>
      </c>
      <c r="I973" t="s">
        <v>287</v>
      </c>
      <c r="J973" s="5">
        <v>1</v>
      </c>
      <c r="K973" s="3" t="str" cm="1">
        <f t="array" ref="K973">_xlfn.IFS(J973&lt;=5, "0-5", J973&lt;=10, "6-10", J973&lt;=15, "11-15", J973&lt;=20, "16-20", J973&gt;20, "21+")</f>
        <v>0-5</v>
      </c>
      <c r="L973" s="2">
        <v>40</v>
      </c>
      <c r="M973" s="4" t="str">
        <f>SUBSTITUTE(L973, "$","")</f>
        <v>40</v>
      </c>
      <c r="N973" s="4">
        <f t="shared" si="506"/>
        <v>40</v>
      </c>
      <c r="O973" s="5">
        <v>3.1</v>
      </c>
      <c r="P973">
        <v>1</v>
      </c>
      <c r="Q973" t="s">
        <v>28</v>
      </c>
      <c r="R973" s="1">
        <v>0.76</v>
      </c>
      <c r="S973" s="6">
        <f t="shared" si="511"/>
        <v>0.76</v>
      </c>
    </row>
    <row r="974" spans="1:19" ht="13.5" x14ac:dyDescent="0.25">
      <c r="A974" t="s">
        <v>2035</v>
      </c>
      <c r="B974" t="s">
        <v>2036</v>
      </c>
      <c r="C974" t="str">
        <f t="shared" si="508"/>
        <v>Matthew Strong</v>
      </c>
      <c r="D974" t="s">
        <v>311</v>
      </c>
      <c r="E974" s="3" t="str">
        <f t="shared" si="505"/>
        <v>Male</v>
      </c>
      <c r="F974" s="5">
        <v>24</v>
      </c>
      <c r="G974" t="s">
        <v>104</v>
      </c>
      <c r="H974" t="s">
        <v>105</v>
      </c>
      <c r="I974" t="s">
        <v>292</v>
      </c>
      <c r="J974" s="5">
        <v>3</v>
      </c>
      <c r="K974" s="3" t="str" cm="1">
        <f t="array" ref="K974">_xlfn.IFS(J974&lt;=5, "0-5", J974&lt;=10, "6-10", J974&lt;=15, "11-15", J974&lt;=20, "16-20", J974&gt;20, "21+")</f>
        <v>0-5</v>
      </c>
      <c r="L974" t="s">
        <v>72</v>
      </c>
      <c r="M974" s="4" t="str">
        <f t="shared" ref="M974" si="513">_xlfn.TEXTAFTER(L974, " ")</f>
        <v>30</v>
      </c>
      <c r="N974" s="4">
        <f t="shared" si="506"/>
        <v>30</v>
      </c>
      <c r="O974" s="5">
        <v>3.9</v>
      </c>
      <c r="P974" t="s">
        <v>64</v>
      </c>
      <c r="Q974" t="s">
        <v>54</v>
      </c>
      <c r="R974" s="1">
        <v>0.9</v>
      </c>
      <c r="S974" s="6">
        <f t="shared" si="511"/>
        <v>0.9</v>
      </c>
    </row>
    <row r="975" spans="1:19" ht="13.5" x14ac:dyDescent="0.25">
      <c r="A975" t="s">
        <v>2037</v>
      </c>
      <c r="B975" t="s">
        <v>2038</v>
      </c>
      <c r="C975" t="str">
        <f t="shared" si="508"/>
        <v>Mark Chandler</v>
      </c>
      <c r="D975" t="s">
        <v>311</v>
      </c>
      <c r="E975" s="3" t="str">
        <f t="shared" si="505"/>
        <v>Male</v>
      </c>
      <c r="F975" s="5">
        <v>35</v>
      </c>
      <c r="G975" t="s">
        <v>62</v>
      </c>
      <c r="H975" t="s">
        <v>63</v>
      </c>
      <c r="I975" t="s">
        <v>283</v>
      </c>
      <c r="J975" s="5">
        <v>14</v>
      </c>
      <c r="K975" s="3" t="str" cm="1">
        <f t="array" ref="K975">_xlfn.IFS(J975&lt;=5, "0-5", J975&lt;=10, "6-10", J975&lt;=15, "11-15", J975&lt;=20, "16-20", J975&gt;20, "21+")</f>
        <v>11-15</v>
      </c>
      <c r="L975">
        <v>30</v>
      </c>
      <c r="M975" s="4">
        <f>L975</f>
        <v>30</v>
      </c>
      <c r="N975" s="4">
        <f t="shared" si="506"/>
        <v>30</v>
      </c>
      <c r="O975" s="5">
        <v>1.6</v>
      </c>
      <c r="P975" t="s">
        <v>57</v>
      </c>
      <c r="Q975" t="s">
        <v>28</v>
      </c>
      <c r="R975" s="1">
        <v>0.67</v>
      </c>
      <c r="S975" s="6">
        <f t="shared" si="511"/>
        <v>0.67</v>
      </c>
    </row>
    <row r="976" spans="1:19" ht="13.5" x14ac:dyDescent="0.25">
      <c r="A976" t="s">
        <v>2039</v>
      </c>
      <c r="B976" t="s">
        <v>2040</v>
      </c>
      <c r="C976" t="str">
        <f t="shared" si="508"/>
        <v>Crystal Brown</v>
      </c>
      <c r="D976" t="s">
        <v>304</v>
      </c>
      <c r="E976" s="3" t="str">
        <f t="shared" si="505"/>
        <v>Female</v>
      </c>
      <c r="F976" s="5">
        <v>43</v>
      </c>
      <c r="G976" t="s">
        <v>84</v>
      </c>
      <c r="H976" t="s">
        <v>24</v>
      </c>
      <c r="I976" t="s">
        <v>292</v>
      </c>
      <c r="J976" s="5">
        <v>2</v>
      </c>
      <c r="K976" s="3" t="str" cm="1">
        <f t="array" ref="K976">_xlfn.IFS(J976&lt;=5, "0-5", J976&lt;=10, "6-10", J976&lt;=15, "11-15", J976&lt;=20, "16-20", J976&gt;20, "21+")</f>
        <v>0-5</v>
      </c>
      <c r="N976" s="4" t="str">
        <f t="shared" si="506"/>
        <v>NA</v>
      </c>
      <c r="O976" s="5">
        <v>1.8</v>
      </c>
      <c r="P976" t="s">
        <v>81</v>
      </c>
      <c r="Q976" t="s">
        <v>54</v>
      </c>
      <c r="R976" s="1">
        <v>0.61</v>
      </c>
      <c r="S976" s="6">
        <f t="shared" si="511"/>
        <v>0.61</v>
      </c>
    </row>
    <row r="977" spans="1:19" ht="13.5" x14ac:dyDescent="0.25">
      <c r="A977" t="s">
        <v>2041</v>
      </c>
      <c r="B977" t="s">
        <v>2042</v>
      </c>
      <c r="C977" t="str">
        <f t="shared" si="508"/>
        <v>Timothy Barton</v>
      </c>
      <c r="D977" t="s">
        <v>31</v>
      </c>
      <c r="E977" s="3" t="str">
        <f t="shared" si="505"/>
        <v>Male</v>
      </c>
      <c r="F977" s="5">
        <v>53</v>
      </c>
      <c r="G977" t="s">
        <v>62</v>
      </c>
      <c r="H977" t="s">
        <v>63</v>
      </c>
      <c r="I977" t="s">
        <v>284</v>
      </c>
      <c r="J977" s="5">
        <v>27</v>
      </c>
      <c r="K977" s="3" t="str" cm="1">
        <f t="array" ref="K977">_xlfn.IFS(J977&lt;=5, "0-5", J977&lt;=10, "6-10", J977&lt;=15, "11-15", J977&lt;=20, "16-20", J977&gt;20, "21+")</f>
        <v>21+</v>
      </c>
      <c r="L977">
        <v>100</v>
      </c>
      <c r="M977" s="4">
        <f t="shared" ref="M977:M979" si="514">L977</f>
        <v>100</v>
      </c>
      <c r="N977" s="4">
        <f t="shared" si="506"/>
        <v>100</v>
      </c>
      <c r="O977" s="5">
        <v>3.7</v>
      </c>
      <c r="P977" t="s">
        <v>81</v>
      </c>
      <c r="Q977" t="s">
        <v>54</v>
      </c>
      <c r="R977" s="1">
        <v>0.73</v>
      </c>
      <c r="S977" s="6">
        <f t="shared" si="511"/>
        <v>0.73</v>
      </c>
    </row>
    <row r="978" spans="1:19" ht="13.5" x14ac:dyDescent="0.25">
      <c r="A978" t="s">
        <v>2043</v>
      </c>
      <c r="B978" t="s">
        <v>2044</v>
      </c>
      <c r="C978" t="str">
        <f t="shared" si="508"/>
        <v>Lisa Hickman</v>
      </c>
      <c r="D978" t="s">
        <v>301</v>
      </c>
      <c r="E978" s="3" t="str">
        <f t="shared" si="505"/>
        <v>Female</v>
      </c>
      <c r="F978" s="5">
        <v>38</v>
      </c>
      <c r="G978" t="s">
        <v>95</v>
      </c>
      <c r="H978" t="s">
        <v>96</v>
      </c>
      <c r="I978" t="s">
        <v>283</v>
      </c>
      <c r="J978" s="5">
        <v>7</v>
      </c>
      <c r="K978" s="3" t="str" cm="1">
        <f t="array" ref="K978">_xlfn.IFS(J978&lt;=5, "0-5", J978&lt;=10, "6-10", J978&lt;=15, "11-15", J978&lt;=20, "16-20", J978&gt;20, "21+")</f>
        <v>6-10</v>
      </c>
      <c r="L978">
        <v>75</v>
      </c>
      <c r="M978" s="4">
        <f t="shared" si="514"/>
        <v>75</v>
      </c>
      <c r="N978" s="4">
        <f t="shared" si="506"/>
        <v>75</v>
      </c>
      <c r="P978">
        <v>0</v>
      </c>
      <c r="Q978" t="s">
        <v>54</v>
      </c>
      <c r="S978" s="7"/>
    </row>
    <row r="979" spans="1:19" ht="13.5" x14ac:dyDescent="0.25">
      <c r="A979" t="s">
        <v>2045</v>
      </c>
      <c r="B979" t="s">
        <v>2046</v>
      </c>
      <c r="C979" t="str">
        <f t="shared" si="508"/>
        <v>Alan Mendoza</v>
      </c>
      <c r="D979" t="s">
        <v>32</v>
      </c>
      <c r="E979" s="3" t="str">
        <f t="shared" si="505"/>
        <v>Male</v>
      </c>
      <c r="F979" s="5">
        <v>57</v>
      </c>
      <c r="G979" t="s">
        <v>152</v>
      </c>
      <c r="H979" t="s">
        <v>39</v>
      </c>
      <c r="I979" t="s">
        <v>288</v>
      </c>
      <c r="J979" s="5">
        <v>29</v>
      </c>
      <c r="K979" s="3" t="str" cm="1">
        <f t="array" ref="K979">_xlfn.IFS(J979&lt;=5, "0-5", J979&lt;=10, "6-10", J979&lt;=15, "11-15", J979&lt;=20, "16-20", J979&gt;20, "21+")</f>
        <v>21+</v>
      </c>
      <c r="L979">
        <v>75</v>
      </c>
      <c r="M979" s="4">
        <f t="shared" si="514"/>
        <v>75</v>
      </c>
      <c r="N979" s="4">
        <f t="shared" si="506"/>
        <v>75</v>
      </c>
      <c r="O979" s="5">
        <v>4.0999999999999996</v>
      </c>
      <c r="P979" t="s">
        <v>64</v>
      </c>
      <c r="Q979" t="s">
        <v>54</v>
      </c>
      <c r="R979" s="1">
        <v>0.9</v>
      </c>
      <c r="S979" s="6">
        <f t="shared" ref="S979:S981" si="515">R979</f>
        <v>0.9</v>
      </c>
    </row>
    <row r="980" spans="1:19" ht="13.5" x14ac:dyDescent="0.25">
      <c r="A980" t="s">
        <v>2047</v>
      </c>
      <c r="B980" t="s">
        <v>2048</v>
      </c>
      <c r="C980" t="str">
        <f t="shared" si="508"/>
        <v>Jason Sanders</v>
      </c>
      <c r="D980" t="s">
        <v>311</v>
      </c>
      <c r="E980" s="3" t="str">
        <f t="shared" si="505"/>
        <v>Male</v>
      </c>
      <c r="F980" s="5">
        <v>27</v>
      </c>
      <c r="G980" t="s">
        <v>165</v>
      </c>
      <c r="H980" t="s">
        <v>166</v>
      </c>
      <c r="I980" t="s">
        <v>292</v>
      </c>
      <c r="J980" s="5">
        <v>5</v>
      </c>
      <c r="K980" s="3" t="str" cm="1">
        <f t="array" ref="K980">_xlfn.IFS(J980&lt;=5, "0-5", J980&lt;=10, "6-10", J980&lt;=15, "11-15", J980&lt;=20, "16-20", J980&gt;20, "21+")</f>
        <v>0-5</v>
      </c>
      <c r="L980" s="2">
        <v>75</v>
      </c>
      <c r="M980" s="4" t="str">
        <f>SUBSTITUTE(L980, "$","")</f>
        <v>75</v>
      </c>
      <c r="N980" s="4">
        <f t="shared" si="506"/>
        <v>75</v>
      </c>
      <c r="O980" s="5">
        <v>1.4</v>
      </c>
      <c r="P980" t="b">
        <v>1</v>
      </c>
      <c r="Q980" t="s">
        <v>28</v>
      </c>
      <c r="R980" s="1">
        <v>0.64</v>
      </c>
      <c r="S980" s="6">
        <f t="shared" si="515"/>
        <v>0.64</v>
      </c>
    </row>
    <row r="981" spans="1:19" ht="13.5" x14ac:dyDescent="0.25">
      <c r="A981" t="s">
        <v>2049</v>
      </c>
      <c r="B981" t="s">
        <v>2050</v>
      </c>
      <c r="C981" t="str">
        <f t="shared" si="508"/>
        <v>Charles Dean</v>
      </c>
      <c r="D981" t="s">
        <v>43</v>
      </c>
      <c r="E981" s="3" t="str">
        <f t="shared" si="505"/>
        <v>Male</v>
      </c>
      <c r="F981" s="5">
        <v>43</v>
      </c>
      <c r="G981" t="s">
        <v>23</v>
      </c>
      <c r="H981" t="s">
        <v>24</v>
      </c>
      <c r="I981" t="s">
        <v>290</v>
      </c>
      <c r="J981" s="5">
        <v>2</v>
      </c>
      <c r="K981" s="3" t="str" cm="1">
        <f t="array" ref="K981">_xlfn.IFS(J981&lt;=5, "0-5", J981&lt;=10, "6-10", J981&lt;=15, "11-15", J981&lt;=20, "16-20", J981&gt;20, "21+")</f>
        <v>0-5</v>
      </c>
      <c r="L981">
        <v>100</v>
      </c>
      <c r="M981" s="4">
        <f>L981</f>
        <v>100</v>
      </c>
      <c r="N981" s="4">
        <f t="shared" si="506"/>
        <v>100</v>
      </c>
      <c r="O981" s="5">
        <v>1.1000000000000001</v>
      </c>
      <c r="P981">
        <v>1</v>
      </c>
      <c r="Q981" t="s">
        <v>28</v>
      </c>
      <c r="R981" s="1">
        <v>0.63</v>
      </c>
      <c r="S981" s="6">
        <f t="shared" si="515"/>
        <v>0.63</v>
      </c>
    </row>
    <row r="982" spans="1:19" ht="13.5" x14ac:dyDescent="0.25">
      <c r="A982" t="s">
        <v>2051</v>
      </c>
      <c r="B982" t="s">
        <v>2052</v>
      </c>
      <c r="C982" t="str">
        <f t="shared" si="508"/>
        <v>Blake Newton</v>
      </c>
      <c r="D982" t="s">
        <v>31</v>
      </c>
      <c r="E982" s="3" t="str">
        <f t="shared" si="505"/>
        <v>Male</v>
      </c>
      <c r="F982" s="5">
        <v>48</v>
      </c>
      <c r="G982" t="s">
        <v>125</v>
      </c>
      <c r="H982" t="s">
        <v>39</v>
      </c>
      <c r="I982" t="s">
        <v>291</v>
      </c>
      <c r="J982" s="5">
        <v>18</v>
      </c>
      <c r="K982" s="3" t="str" cm="1">
        <f t="array" ref="K982">_xlfn.IFS(J982&lt;=5, "0-5", J982&lt;=10, "6-10", J982&lt;=15, "11-15", J982&lt;=20, "16-20", J982&gt;20, "21+")</f>
        <v>16-20</v>
      </c>
      <c r="L982" s="2">
        <v>40</v>
      </c>
      <c r="M982" s="4" t="str">
        <f>SUBSTITUTE(L982, "$","")</f>
        <v>40</v>
      </c>
      <c r="N982" s="4">
        <f t="shared" si="506"/>
        <v>40</v>
      </c>
      <c r="O982" s="5">
        <v>3.9</v>
      </c>
      <c r="S982" s="7"/>
    </row>
    <row r="983" spans="1:19" ht="13.5" x14ac:dyDescent="0.25">
      <c r="A983" t="s">
        <v>2053</v>
      </c>
      <c r="B983" t="s">
        <v>2054</v>
      </c>
      <c r="C983" t="str">
        <f t="shared" si="508"/>
        <v>David Gonzalez</v>
      </c>
      <c r="D983" t="s">
        <v>328</v>
      </c>
      <c r="E983" s="3" t="str">
        <f t="shared" si="505"/>
        <v>Male</v>
      </c>
      <c r="F983" s="5">
        <v>26</v>
      </c>
      <c r="G983" t="s">
        <v>47</v>
      </c>
      <c r="H983" t="s">
        <v>48</v>
      </c>
      <c r="I983" t="s">
        <v>288</v>
      </c>
      <c r="J983" s="5">
        <v>8</v>
      </c>
      <c r="K983" s="3" t="str" cm="1">
        <f t="array" ref="K983">_xlfn.IFS(J983&lt;=5, "0-5", J983&lt;=10, "6-10", J983&lt;=15, "11-15", J983&lt;=20, "16-20", J983&gt;20, "21+")</f>
        <v>6-10</v>
      </c>
      <c r="L983">
        <v>20</v>
      </c>
      <c r="M983" s="4">
        <f>L983</f>
        <v>20</v>
      </c>
      <c r="N983" s="4">
        <f t="shared" si="506"/>
        <v>20</v>
      </c>
      <c r="O983" s="5">
        <v>3.6</v>
      </c>
      <c r="P983">
        <v>0</v>
      </c>
      <c r="Q983" t="s">
        <v>54</v>
      </c>
      <c r="R983" s="1">
        <v>0.67</v>
      </c>
      <c r="S983" s="6">
        <f t="shared" ref="S983:S984" si="516">R983</f>
        <v>0.67</v>
      </c>
    </row>
    <row r="984" spans="1:19" ht="13.5" x14ac:dyDescent="0.25">
      <c r="A984" t="s">
        <v>2055</v>
      </c>
      <c r="B984" t="s">
        <v>2056</v>
      </c>
      <c r="C984" t="str">
        <f t="shared" si="508"/>
        <v>Cindy Williams</v>
      </c>
      <c r="D984" t="s">
        <v>22</v>
      </c>
      <c r="E984" s="3" t="str">
        <f t="shared" si="505"/>
        <v>Female</v>
      </c>
      <c r="G984" t="s">
        <v>177</v>
      </c>
      <c r="H984" t="s">
        <v>178</v>
      </c>
      <c r="I984" t="s">
        <v>287</v>
      </c>
      <c r="J984" s="5">
        <v>0</v>
      </c>
      <c r="K984" s="3" t="str" cm="1">
        <f t="array" ref="K984">_xlfn.IFS(J984&lt;=5, "0-5", J984&lt;=10, "6-10", J984&lt;=15, "11-15", J984&lt;=20, "16-20", J984&gt;20, "21+")</f>
        <v>0-5</v>
      </c>
      <c r="L984" s="2">
        <v>40</v>
      </c>
      <c r="M984" s="4" t="str">
        <f t="shared" ref="M984:M985" si="517">SUBSTITUTE(L984, "$","")</f>
        <v>40</v>
      </c>
      <c r="N984" s="4">
        <f t="shared" si="506"/>
        <v>40</v>
      </c>
      <c r="O984" s="5">
        <v>0</v>
      </c>
      <c r="P984" t="s">
        <v>81</v>
      </c>
      <c r="Q984" t="s">
        <v>54</v>
      </c>
      <c r="R984" s="1">
        <v>0.97</v>
      </c>
      <c r="S984" s="6">
        <f t="shared" si="516"/>
        <v>0.97</v>
      </c>
    </row>
    <row r="985" spans="1:19" ht="13.5" x14ac:dyDescent="0.25">
      <c r="A985" t="s">
        <v>2057</v>
      </c>
      <c r="B985" t="s">
        <v>2058</v>
      </c>
      <c r="C985" t="str">
        <f t="shared" si="508"/>
        <v>Laura Wong DDS</v>
      </c>
      <c r="D985" t="s">
        <v>304</v>
      </c>
      <c r="E985" s="3" t="str">
        <f t="shared" si="505"/>
        <v>Female</v>
      </c>
      <c r="F985" s="5">
        <v>50</v>
      </c>
      <c r="G985" t="s">
        <v>253</v>
      </c>
      <c r="H985" t="s">
        <v>254</v>
      </c>
      <c r="I985" t="s">
        <v>291</v>
      </c>
      <c r="J985" s="5">
        <v>16</v>
      </c>
      <c r="K985" s="3" t="str" cm="1">
        <f t="array" ref="K985">_xlfn.IFS(J985&lt;=5, "0-5", J985&lt;=10, "6-10", J985&lt;=15, "11-15", J985&lt;=20, "16-20", J985&gt;20, "21+")</f>
        <v>16-20</v>
      </c>
      <c r="L985" s="2">
        <v>75</v>
      </c>
      <c r="M985" s="4" t="str">
        <f t="shared" si="517"/>
        <v>75</v>
      </c>
      <c r="N985" s="4">
        <f t="shared" si="506"/>
        <v>75</v>
      </c>
      <c r="O985" s="5">
        <v>4.5</v>
      </c>
      <c r="P985">
        <v>0</v>
      </c>
      <c r="Q985" t="s">
        <v>54</v>
      </c>
      <c r="R985">
        <v>69</v>
      </c>
      <c r="S985" s="6">
        <f>R985/100</f>
        <v>0.69</v>
      </c>
    </row>
    <row r="986" spans="1:19" ht="13.5" x14ac:dyDescent="0.25">
      <c r="A986" t="s">
        <v>2059</v>
      </c>
      <c r="B986" t="s">
        <v>2060</v>
      </c>
      <c r="C986" t="str">
        <f t="shared" si="508"/>
        <v>Robert Moran</v>
      </c>
      <c r="D986" t="s">
        <v>43</v>
      </c>
      <c r="E986" s="3" t="str">
        <f t="shared" si="505"/>
        <v>Male</v>
      </c>
      <c r="F986" s="5">
        <v>48</v>
      </c>
      <c r="G986" t="s">
        <v>177</v>
      </c>
      <c r="H986" t="s">
        <v>178</v>
      </c>
      <c r="I986" t="s">
        <v>290</v>
      </c>
      <c r="J986" s="5">
        <v>8</v>
      </c>
      <c r="K986" s="3" t="str" cm="1">
        <f t="array" ref="K986">_xlfn.IFS(J986&lt;=5, "0-5", J986&lt;=10, "6-10", J986&lt;=15, "11-15", J986&lt;=20, "16-20", J986&gt;20, "21+")</f>
        <v>6-10</v>
      </c>
      <c r="L986">
        <v>50</v>
      </c>
      <c r="M986" s="4">
        <f t="shared" ref="M986:M988" si="518">L986</f>
        <v>50</v>
      </c>
      <c r="N986" s="4">
        <f t="shared" si="506"/>
        <v>50</v>
      </c>
      <c r="P986">
        <v>1</v>
      </c>
      <c r="Q986" t="s">
        <v>28</v>
      </c>
      <c r="R986" s="1">
        <v>0.73</v>
      </c>
      <c r="S986" s="6">
        <f t="shared" ref="S986:S987" si="519">R986</f>
        <v>0.73</v>
      </c>
    </row>
    <row r="987" spans="1:19" ht="13.5" x14ac:dyDescent="0.25">
      <c r="A987" t="s">
        <v>2061</v>
      </c>
      <c r="B987" t="s">
        <v>2062</v>
      </c>
      <c r="C987" t="str">
        <f t="shared" si="508"/>
        <v>Bradley Wu</v>
      </c>
      <c r="D987" t="s">
        <v>43</v>
      </c>
      <c r="E987" s="3" t="str">
        <f t="shared" si="505"/>
        <v>Male</v>
      </c>
      <c r="F987" s="5">
        <v>60</v>
      </c>
      <c r="G987" t="s">
        <v>84</v>
      </c>
      <c r="H987" t="s">
        <v>24</v>
      </c>
      <c r="I987" t="s">
        <v>292</v>
      </c>
      <c r="J987" s="5">
        <v>39</v>
      </c>
      <c r="K987" s="3" t="str" cm="1">
        <f t="array" ref="K987">_xlfn.IFS(J987&lt;=5, "0-5", J987&lt;=10, "6-10", J987&lt;=15, "11-15", J987&lt;=20, "16-20", J987&gt;20, "21+")</f>
        <v>21+</v>
      </c>
      <c r="L987">
        <v>20</v>
      </c>
      <c r="M987" s="4">
        <f t="shared" si="518"/>
        <v>20</v>
      </c>
      <c r="N987" s="4">
        <f t="shared" si="506"/>
        <v>20</v>
      </c>
      <c r="O987" s="5">
        <v>1.4</v>
      </c>
      <c r="P987" t="b">
        <v>1</v>
      </c>
      <c r="Q987" t="s">
        <v>28</v>
      </c>
      <c r="R987" s="1">
        <v>0.86</v>
      </c>
      <c r="S987" s="6">
        <f t="shared" si="519"/>
        <v>0.86</v>
      </c>
    </row>
    <row r="988" spans="1:19" ht="13.5" x14ac:dyDescent="0.25">
      <c r="A988" t="s">
        <v>2063</v>
      </c>
      <c r="B988" t="s">
        <v>2064</v>
      </c>
      <c r="C988" t="str">
        <f t="shared" si="508"/>
        <v>Daniel Thomas</v>
      </c>
      <c r="D988" t="s">
        <v>32</v>
      </c>
      <c r="E988" s="3" t="str">
        <f t="shared" si="505"/>
        <v>Male</v>
      </c>
      <c r="F988" s="5">
        <v>26</v>
      </c>
      <c r="G988" t="s">
        <v>117</v>
      </c>
      <c r="H988" t="s">
        <v>118</v>
      </c>
      <c r="I988" t="s">
        <v>284</v>
      </c>
      <c r="K988" s="3" t="str" cm="1">
        <f t="array" ref="K988">_xlfn.IFS(J988&lt;=5, "0-5", J988&lt;=10, "6-10", J988&lt;=15, "11-15", J988&lt;=20, "16-20", J988&gt;20, "21+")</f>
        <v>0-5</v>
      </c>
      <c r="L988">
        <v>50</v>
      </c>
      <c r="M988" s="4">
        <f t="shared" si="518"/>
        <v>50</v>
      </c>
      <c r="N988" s="4">
        <f t="shared" si="506"/>
        <v>50</v>
      </c>
      <c r="O988" s="5">
        <v>0</v>
      </c>
      <c r="P988" t="s">
        <v>27</v>
      </c>
      <c r="Q988" t="s">
        <v>28</v>
      </c>
      <c r="R988">
        <v>81</v>
      </c>
      <c r="S988" s="6">
        <f>R988/100</f>
        <v>0.81</v>
      </c>
    </row>
    <row r="989" spans="1:19" ht="13.5" x14ac:dyDescent="0.25">
      <c r="A989" t="s">
        <v>2065</v>
      </c>
      <c r="B989" t="s">
        <v>2066</v>
      </c>
      <c r="C989" t="str">
        <f t="shared" si="508"/>
        <v>Michelle Peterson</v>
      </c>
      <c r="D989" t="s">
        <v>21</v>
      </c>
      <c r="E989" s="3" t="str">
        <f t="shared" si="505"/>
        <v>Female</v>
      </c>
      <c r="F989" s="5">
        <v>35</v>
      </c>
      <c r="G989" t="s">
        <v>62</v>
      </c>
      <c r="H989" t="s">
        <v>63</v>
      </c>
      <c r="I989" t="s">
        <v>287</v>
      </c>
      <c r="J989" s="5">
        <v>16</v>
      </c>
      <c r="K989" s="3" t="str" cm="1">
        <f t="array" ref="K989">_xlfn.IFS(J989&lt;=5, "0-5", J989&lt;=10, "6-10", J989&lt;=15, "11-15", J989&lt;=20, "16-20", J989&gt;20, "21+")</f>
        <v>16-20</v>
      </c>
      <c r="L989" t="s">
        <v>40</v>
      </c>
      <c r="M989" s="4" t="str">
        <f t="shared" ref="M989" si="520">_xlfn.TEXTAFTER(L989, " ")</f>
        <v>100</v>
      </c>
      <c r="N989" s="4">
        <f t="shared" si="506"/>
        <v>100</v>
      </c>
      <c r="O989" s="5">
        <v>4.3</v>
      </c>
      <c r="P989">
        <v>1</v>
      </c>
      <c r="Q989" t="s">
        <v>28</v>
      </c>
      <c r="R989" s="1">
        <v>0.74</v>
      </c>
      <c r="S989" s="6">
        <f>R989</f>
        <v>0.74</v>
      </c>
    </row>
    <row r="990" spans="1:19" ht="13.5" x14ac:dyDescent="0.25">
      <c r="A990" t="s">
        <v>2067</v>
      </c>
      <c r="B990" t="s">
        <v>2068</v>
      </c>
      <c r="C990" t="str">
        <f t="shared" si="508"/>
        <v>Seth Thomas</v>
      </c>
      <c r="D990" t="s">
        <v>32</v>
      </c>
      <c r="E990" s="3" t="str">
        <f t="shared" si="505"/>
        <v>Male</v>
      </c>
      <c r="F990" s="5">
        <v>23</v>
      </c>
      <c r="G990" t="s">
        <v>183</v>
      </c>
      <c r="H990" t="s">
        <v>39</v>
      </c>
      <c r="I990" t="s">
        <v>292</v>
      </c>
      <c r="J990" s="5">
        <v>4</v>
      </c>
      <c r="K990" s="3" t="str" cm="1">
        <f t="array" ref="K990">_xlfn.IFS(J990&lt;=5, "0-5", J990&lt;=10, "6-10", J990&lt;=15, "11-15", J990&lt;=20, "16-20", J990&gt;20, "21+")</f>
        <v>0-5</v>
      </c>
      <c r="L990" s="2">
        <v>100</v>
      </c>
      <c r="M990" s="4" t="str">
        <f>SUBSTITUTE(L990, "$","")</f>
        <v>100</v>
      </c>
      <c r="N990" s="4">
        <f t="shared" si="506"/>
        <v>100</v>
      </c>
      <c r="O990" s="5">
        <v>2.2000000000000002</v>
      </c>
      <c r="P990">
        <v>1</v>
      </c>
      <c r="Q990" t="s">
        <v>28</v>
      </c>
      <c r="R990">
        <v>64</v>
      </c>
      <c r="S990" s="6">
        <f>R990/100</f>
        <v>0.64</v>
      </c>
    </row>
    <row r="991" spans="1:19" ht="13.5" x14ac:dyDescent="0.25">
      <c r="A991" t="s">
        <v>2069</v>
      </c>
      <c r="B991" t="s">
        <v>2070</v>
      </c>
      <c r="C991" t="str">
        <f t="shared" si="508"/>
        <v>Evan Ramos</v>
      </c>
      <c r="D991" t="s">
        <v>32</v>
      </c>
      <c r="E991" s="3" t="str">
        <f t="shared" si="505"/>
        <v>Male</v>
      </c>
      <c r="F991" s="5">
        <v>37</v>
      </c>
      <c r="G991" t="s">
        <v>38</v>
      </c>
      <c r="H991" t="s">
        <v>39</v>
      </c>
      <c r="I991" t="s">
        <v>287</v>
      </c>
      <c r="J991" s="5">
        <v>4</v>
      </c>
      <c r="K991" s="3" t="str" cm="1">
        <f t="array" ref="K991">_xlfn.IFS(J991&lt;=5, "0-5", J991&lt;=10, "6-10", J991&lt;=15, "11-15", J991&lt;=20, "16-20", J991&gt;20, "21+")</f>
        <v>0-5</v>
      </c>
      <c r="L991">
        <v>75</v>
      </c>
      <c r="M991" s="4">
        <f t="shared" ref="M991:M992" si="521">L991</f>
        <v>75</v>
      </c>
      <c r="N991" s="4">
        <f t="shared" si="506"/>
        <v>75</v>
      </c>
      <c r="O991" s="5">
        <v>3.2</v>
      </c>
      <c r="P991" t="b">
        <v>0</v>
      </c>
      <c r="Q991" t="s">
        <v>54</v>
      </c>
      <c r="R991" s="1">
        <v>0.76</v>
      </c>
      <c r="S991" s="6">
        <f>R991</f>
        <v>0.76</v>
      </c>
    </row>
    <row r="992" spans="1:19" ht="13.5" x14ac:dyDescent="0.25">
      <c r="A992" t="s">
        <v>19</v>
      </c>
      <c r="B992" t="s">
        <v>20</v>
      </c>
      <c r="C992" t="str">
        <f t="shared" si="508"/>
        <v>Michelle Solis</v>
      </c>
      <c r="D992" t="s">
        <v>21</v>
      </c>
      <c r="E992" s="3" t="str">
        <f t="shared" si="505"/>
        <v>Female</v>
      </c>
      <c r="F992" s="5">
        <v>21</v>
      </c>
      <c r="G992" t="s">
        <v>23</v>
      </c>
      <c r="H992" t="s">
        <v>24</v>
      </c>
      <c r="I992" t="s">
        <v>25</v>
      </c>
      <c r="J992" s="5">
        <v>2</v>
      </c>
      <c r="K992" s="3" t="str" cm="1">
        <f t="array" ref="K992">_xlfn.IFS(J992&lt;=5, "0-5", J992&lt;=10, "6-10", J992&lt;=15, "11-15", J992&lt;=20, "16-20", J992&gt;20, "21+")</f>
        <v>0-5</v>
      </c>
      <c r="L992">
        <v>100</v>
      </c>
      <c r="M992" s="4">
        <f t="shared" si="521"/>
        <v>100</v>
      </c>
      <c r="N992" s="4">
        <f t="shared" si="506"/>
        <v>100</v>
      </c>
      <c r="O992" s="5">
        <v>3.7</v>
      </c>
      <c r="P992" t="s">
        <v>27</v>
      </c>
      <c r="Q992" t="s">
        <v>28</v>
      </c>
      <c r="R992">
        <v>73</v>
      </c>
      <c r="S992" s="6">
        <f>R992/100</f>
        <v>0.73</v>
      </c>
    </row>
    <row r="993" spans="1:19" ht="13.5" x14ac:dyDescent="0.25">
      <c r="A993" t="s">
        <v>2071</v>
      </c>
      <c r="B993" t="s">
        <v>2072</v>
      </c>
      <c r="C993" t="str">
        <f t="shared" si="508"/>
        <v>Charlotte Taylor</v>
      </c>
      <c r="D993" t="s">
        <v>21</v>
      </c>
      <c r="E993" s="3" t="str">
        <f t="shared" si="505"/>
        <v>Female</v>
      </c>
      <c r="F993" s="5">
        <v>58</v>
      </c>
      <c r="G993" t="s">
        <v>33</v>
      </c>
      <c r="H993" t="s">
        <v>34</v>
      </c>
      <c r="I993" t="s">
        <v>286</v>
      </c>
      <c r="J993" s="5">
        <v>37</v>
      </c>
      <c r="K993" s="3" t="str" cm="1">
        <f t="array" ref="K993">_xlfn.IFS(J993&lt;=5, "0-5", J993&lt;=10, "6-10", J993&lt;=15, "11-15", J993&lt;=20, "16-20", J993&gt;20, "21+")</f>
        <v>21+</v>
      </c>
      <c r="L993" t="s">
        <v>112</v>
      </c>
      <c r="M993" s="4" t="str">
        <f t="shared" ref="M993" si="522">_xlfn.TEXTAFTER(L993, " ")</f>
        <v>50</v>
      </c>
      <c r="N993" s="4">
        <f t="shared" si="506"/>
        <v>50</v>
      </c>
      <c r="O993" s="5">
        <v>4.9000000000000004</v>
      </c>
      <c r="P993" t="b">
        <v>0</v>
      </c>
      <c r="Q993" t="s">
        <v>54</v>
      </c>
      <c r="R993" s="1">
        <v>0.69</v>
      </c>
      <c r="S993" s="6">
        <f t="shared" ref="S993:S994" si="523">R993</f>
        <v>0.69</v>
      </c>
    </row>
    <row r="994" spans="1:19" ht="13.5" x14ac:dyDescent="0.25">
      <c r="A994" t="s">
        <v>2073</v>
      </c>
      <c r="B994" t="s">
        <v>2074</v>
      </c>
      <c r="C994" t="str">
        <f t="shared" si="508"/>
        <v>Sandra Preston</v>
      </c>
      <c r="D994" t="s">
        <v>22</v>
      </c>
      <c r="E994" s="3" t="str">
        <f t="shared" si="505"/>
        <v>Female</v>
      </c>
      <c r="F994" s="5">
        <v>52</v>
      </c>
      <c r="G994" t="s">
        <v>104</v>
      </c>
      <c r="H994" t="s">
        <v>105</v>
      </c>
      <c r="I994" t="s">
        <v>285</v>
      </c>
      <c r="J994" s="5">
        <v>32</v>
      </c>
      <c r="K994" s="3" t="str" cm="1">
        <f t="array" ref="K994">_xlfn.IFS(J994&lt;=5, "0-5", J994&lt;=10, "6-10", J994&lt;=15, "11-15", J994&lt;=20, "16-20", J994&gt;20, "21+")</f>
        <v>21+</v>
      </c>
      <c r="L994" s="2">
        <v>75</v>
      </c>
      <c r="M994" s="4" t="str">
        <f>SUBSTITUTE(L994, "$","")</f>
        <v>75</v>
      </c>
      <c r="N994" s="4">
        <f t="shared" si="506"/>
        <v>75</v>
      </c>
      <c r="O994" s="5">
        <v>3.2</v>
      </c>
      <c r="P994">
        <v>0</v>
      </c>
      <c r="Q994" t="s">
        <v>54</v>
      </c>
      <c r="R994" s="1">
        <v>0.79</v>
      </c>
      <c r="S994" s="6">
        <f t="shared" si="523"/>
        <v>0.79</v>
      </c>
    </row>
    <row r="995" spans="1:19" ht="13.5" x14ac:dyDescent="0.25">
      <c r="A995" t="s">
        <v>2075</v>
      </c>
      <c r="B995" t="s">
        <v>2076</v>
      </c>
      <c r="C995" t="str">
        <f t="shared" si="508"/>
        <v>Jim Weiss</v>
      </c>
      <c r="D995" t="s">
        <v>31</v>
      </c>
      <c r="E995" s="3" t="str">
        <f t="shared" si="505"/>
        <v>Male</v>
      </c>
      <c r="F995" s="5">
        <v>46</v>
      </c>
      <c r="G995" t="s">
        <v>95</v>
      </c>
      <c r="H995" t="s">
        <v>96</v>
      </c>
      <c r="I995" t="s">
        <v>285</v>
      </c>
      <c r="J995" s="5">
        <v>8</v>
      </c>
      <c r="K995" s="3" t="str" cm="1">
        <f t="array" ref="K995">_xlfn.IFS(J995&lt;=5, "0-5", J995&lt;=10, "6-10", J995&lt;=15, "11-15", J995&lt;=20, "16-20", J995&gt;20, "21+")</f>
        <v>6-10</v>
      </c>
      <c r="L995">
        <v>20</v>
      </c>
      <c r="M995" s="4">
        <f t="shared" ref="M995:M997" si="524">L995</f>
        <v>20</v>
      </c>
      <c r="N995" s="4">
        <f t="shared" si="506"/>
        <v>20</v>
      </c>
      <c r="O995" s="5">
        <v>2.2000000000000002</v>
      </c>
      <c r="R995">
        <v>89</v>
      </c>
      <c r="S995" s="6">
        <f>R995/100</f>
        <v>0.89</v>
      </c>
    </row>
    <row r="996" spans="1:19" ht="13.5" x14ac:dyDescent="0.25">
      <c r="A996" t="s">
        <v>2077</v>
      </c>
      <c r="B996" t="s">
        <v>2078</v>
      </c>
      <c r="C996" t="str">
        <f t="shared" si="508"/>
        <v>Jennifer Hinton</v>
      </c>
      <c r="D996" t="s">
        <v>22</v>
      </c>
      <c r="E996" s="3" t="str">
        <f t="shared" si="505"/>
        <v>Female</v>
      </c>
      <c r="F996" s="5">
        <v>34</v>
      </c>
      <c r="G996" t="s">
        <v>177</v>
      </c>
      <c r="H996" t="s">
        <v>178</v>
      </c>
      <c r="I996" t="s">
        <v>283</v>
      </c>
      <c r="J996" s="5">
        <v>8</v>
      </c>
      <c r="K996" s="3" t="str" cm="1">
        <f t="array" ref="K996">_xlfn.IFS(J996&lt;=5, "0-5", J996&lt;=10, "6-10", J996&lt;=15, "11-15", J996&lt;=20, "16-20", J996&gt;20, "21+")</f>
        <v>6-10</v>
      </c>
      <c r="L996">
        <v>30</v>
      </c>
      <c r="M996" s="4">
        <f t="shared" si="524"/>
        <v>30</v>
      </c>
      <c r="N996" s="4">
        <f t="shared" si="506"/>
        <v>30</v>
      </c>
      <c r="O996" s="5">
        <v>3.9</v>
      </c>
      <c r="P996" t="s">
        <v>57</v>
      </c>
      <c r="Q996" t="s">
        <v>28</v>
      </c>
      <c r="R996" s="1">
        <v>0.95</v>
      </c>
      <c r="S996" s="6">
        <f t="shared" ref="S996:S997" si="525">R996</f>
        <v>0.95</v>
      </c>
    </row>
    <row r="997" spans="1:19" ht="13.5" x14ac:dyDescent="0.25">
      <c r="A997" t="s">
        <v>2079</v>
      </c>
      <c r="B997" t="s">
        <v>2080</v>
      </c>
      <c r="C997" t="str">
        <f t="shared" si="508"/>
        <v>Albert Wilcox</v>
      </c>
      <c r="D997" t="s">
        <v>32</v>
      </c>
      <c r="E997" s="3" t="str">
        <f t="shared" si="505"/>
        <v>Male</v>
      </c>
      <c r="F997" s="5">
        <v>56</v>
      </c>
      <c r="G997" t="s">
        <v>67</v>
      </c>
      <c r="H997" t="s">
        <v>68</v>
      </c>
      <c r="I997" t="s">
        <v>283</v>
      </c>
      <c r="J997" s="5">
        <v>13</v>
      </c>
      <c r="K997" s="3" t="str" cm="1">
        <f t="array" ref="K997">_xlfn.IFS(J997&lt;=5, "0-5", J997&lt;=10, "6-10", J997&lt;=15, "11-15", J997&lt;=20, "16-20", J997&gt;20, "21+")</f>
        <v>11-15</v>
      </c>
      <c r="L997">
        <v>100</v>
      </c>
      <c r="M997" s="4">
        <f t="shared" si="524"/>
        <v>100</v>
      </c>
      <c r="N997" s="4">
        <f t="shared" si="506"/>
        <v>100</v>
      </c>
      <c r="O997" s="5">
        <v>0</v>
      </c>
      <c r="P997" t="s">
        <v>81</v>
      </c>
      <c r="Q997" t="s">
        <v>54</v>
      </c>
      <c r="R997" s="1">
        <v>0.68</v>
      </c>
      <c r="S997" s="6">
        <f t="shared" si="525"/>
        <v>0.68</v>
      </c>
    </row>
    <row r="998" spans="1:19" ht="13.5" x14ac:dyDescent="0.25">
      <c r="A998" t="s">
        <v>2081</v>
      </c>
      <c r="B998" t="s">
        <v>2082</v>
      </c>
      <c r="C998" t="str">
        <f t="shared" si="508"/>
        <v>Cheryl Norris</v>
      </c>
      <c r="D998" t="s">
        <v>37</v>
      </c>
      <c r="E998" s="3" t="str">
        <f t="shared" si="505"/>
        <v>Female</v>
      </c>
      <c r="F998" s="5">
        <v>26</v>
      </c>
      <c r="G998" t="s">
        <v>33</v>
      </c>
      <c r="H998" t="s">
        <v>34</v>
      </c>
      <c r="I998" t="s">
        <v>292</v>
      </c>
      <c r="J998" s="5">
        <v>6</v>
      </c>
      <c r="K998" s="3" t="str" cm="1">
        <f t="array" ref="K998">_xlfn.IFS(J998&lt;=5, "0-5", J998&lt;=10, "6-10", J998&lt;=15, "11-15", J998&lt;=20, "16-20", J998&gt;20, "21+")</f>
        <v>6-10</v>
      </c>
      <c r="L998" t="s">
        <v>99</v>
      </c>
      <c r="M998" s="4" t="str">
        <f t="shared" ref="M998" si="526">_xlfn.TEXTAFTER(L998, " ")</f>
        <v>40</v>
      </c>
      <c r="N998" s="4">
        <f t="shared" si="506"/>
        <v>40</v>
      </c>
      <c r="O998" s="5">
        <v>2.8</v>
      </c>
      <c r="P998" t="s">
        <v>64</v>
      </c>
      <c r="Q998" t="s">
        <v>54</v>
      </c>
      <c r="R998">
        <v>82</v>
      </c>
      <c r="S998" s="6">
        <f>R998/100</f>
        <v>0.82</v>
      </c>
    </row>
    <row r="999" spans="1:19" ht="13.5" x14ac:dyDescent="0.25">
      <c r="A999" t="s">
        <v>2083</v>
      </c>
      <c r="B999" t="s">
        <v>2084</v>
      </c>
      <c r="C999" t="str">
        <f t="shared" si="508"/>
        <v>Kathy Watkins</v>
      </c>
      <c r="D999" t="s">
        <v>304</v>
      </c>
      <c r="E999" s="3" t="str">
        <f t="shared" si="505"/>
        <v>Female</v>
      </c>
      <c r="F999" s="5">
        <v>37</v>
      </c>
      <c r="G999" t="s">
        <v>88</v>
      </c>
      <c r="H999" t="s">
        <v>89</v>
      </c>
      <c r="I999" t="s">
        <v>291</v>
      </c>
      <c r="J999" s="5">
        <v>15</v>
      </c>
      <c r="K999" s="3" t="str" cm="1">
        <f t="array" ref="K999">_xlfn.IFS(J999&lt;=5, "0-5", J999&lt;=10, "6-10", J999&lt;=15, "11-15", J999&lt;=20, "16-20", J999&gt;20, "21+")</f>
        <v>11-15</v>
      </c>
      <c r="L999">
        <v>75</v>
      </c>
      <c r="M999" s="4">
        <f t="shared" ref="M999:M1000" si="527">L999</f>
        <v>75</v>
      </c>
      <c r="N999" s="4">
        <f t="shared" si="506"/>
        <v>75</v>
      </c>
      <c r="P999" t="b">
        <v>0</v>
      </c>
      <c r="Q999" t="s">
        <v>54</v>
      </c>
      <c r="R999" s="1">
        <v>0.94</v>
      </c>
      <c r="S999" s="6">
        <f>R999</f>
        <v>0.94</v>
      </c>
    </row>
    <row r="1000" spans="1:19" ht="13.5" x14ac:dyDescent="0.25">
      <c r="A1000" t="s">
        <v>2085</v>
      </c>
      <c r="B1000" t="s">
        <v>2086</v>
      </c>
      <c r="C1000" t="str">
        <f t="shared" si="508"/>
        <v>John Obrien</v>
      </c>
      <c r="D1000" t="s">
        <v>43</v>
      </c>
      <c r="E1000" s="3" t="str">
        <f t="shared" si="505"/>
        <v>Male</v>
      </c>
      <c r="F1000" s="5">
        <v>46</v>
      </c>
      <c r="G1000" t="s">
        <v>95</v>
      </c>
      <c r="H1000" t="s">
        <v>96</v>
      </c>
      <c r="I1000" t="s">
        <v>284</v>
      </c>
      <c r="J1000" s="5">
        <v>22</v>
      </c>
      <c r="K1000" s="3" t="str" cm="1">
        <f t="array" ref="K1000">_xlfn.IFS(J1000&lt;=5, "0-5", J1000&lt;=10, "6-10", J1000&lt;=15, "11-15", J1000&lt;=20, "16-20", J1000&gt;20, "21+")</f>
        <v>21+</v>
      </c>
      <c r="L1000">
        <v>100</v>
      </c>
      <c r="M1000" s="4">
        <f t="shared" si="527"/>
        <v>100</v>
      </c>
      <c r="N1000" s="4">
        <f t="shared" si="506"/>
        <v>100</v>
      </c>
      <c r="O1000" s="5">
        <v>2.8</v>
      </c>
      <c r="P1000" t="s">
        <v>27</v>
      </c>
      <c r="Q1000" t="s">
        <v>28</v>
      </c>
      <c r="R1000">
        <v>97</v>
      </c>
      <c r="S1000" s="6">
        <f t="shared" ref="S1000:S1001" si="528">R1000/100</f>
        <v>0.97</v>
      </c>
    </row>
    <row r="1001" spans="1:19" ht="13.5" x14ac:dyDescent="0.25">
      <c r="A1001" t="s">
        <v>2087</v>
      </c>
      <c r="B1001" t="s">
        <v>2088</v>
      </c>
      <c r="C1001" t="str">
        <f t="shared" si="508"/>
        <v>Dawn Green</v>
      </c>
      <c r="D1001" t="s">
        <v>22</v>
      </c>
      <c r="E1001" s="3" t="str">
        <f t="shared" si="505"/>
        <v>Female</v>
      </c>
      <c r="F1001" s="5">
        <v>36</v>
      </c>
      <c r="G1001" t="s">
        <v>44</v>
      </c>
      <c r="H1001" t="s">
        <v>24</v>
      </c>
      <c r="I1001" t="s">
        <v>286</v>
      </c>
      <c r="J1001" s="5">
        <v>18</v>
      </c>
      <c r="K1001" s="3" t="str" cm="1">
        <f t="array" ref="K1001">_xlfn.IFS(J1001&lt;=5, "0-5", J1001&lt;=10, "6-10", J1001&lt;=15, "11-15", J1001&lt;=20, "16-20", J1001&gt;20, "21+")</f>
        <v>16-20</v>
      </c>
      <c r="L1001" s="2">
        <v>20</v>
      </c>
      <c r="M1001" s="4" t="str">
        <f>SUBSTITUTE(L1001, "$","")</f>
        <v>20</v>
      </c>
      <c r="N1001" s="4">
        <f t="shared" si="506"/>
        <v>20</v>
      </c>
      <c r="O1001" s="5">
        <v>1.7</v>
      </c>
      <c r="P1001">
        <v>1</v>
      </c>
      <c r="Q1001" t="s">
        <v>28</v>
      </c>
      <c r="R1001">
        <v>72</v>
      </c>
      <c r="S1001" s="6">
        <f t="shared" si="528"/>
        <v>0.72</v>
      </c>
    </row>
  </sheetData>
  <autoFilter ref="A1:R1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5"/>
  <sheetViews>
    <sheetView workbookViewId="0">
      <selection activeCell="N6" sqref="N6"/>
    </sheetView>
  </sheetViews>
  <sheetFormatPr defaultRowHeight="13.5" x14ac:dyDescent="0.25"/>
  <cols>
    <col min="1" max="1" width="23.6640625" customWidth="1"/>
    <col min="2" max="2" width="17" customWidth="1"/>
    <col min="4" max="4" width="21.75" customWidth="1"/>
    <col min="5" max="5" width="21.1640625" customWidth="1"/>
    <col min="7" max="7" width="13" customWidth="1"/>
    <col min="8" max="8" width="21.1640625" customWidth="1"/>
    <col min="10" max="10" width="12" customWidth="1"/>
    <col min="11" max="11" width="21.1640625" customWidth="1"/>
    <col min="13" max="13" width="15.08203125" customWidth="1"/>
    <col min="14" max="14" width="21.1640625" bestFit="1" customWidth="1"/>
  </cols>
  <sheetData>
    <row r="3" spans="1:14" x14ac:dyDescent="0.25">
      <c r="A3" s="8" t="s">
        <v>8</v>
      </c>
      <c r="B3" t="s">
        <v>281</v>
      </c>
      <c r="D3" s="8" t="s">
        <v>10</v>
      </c>
      <c r="E3" t="s">
        <v>282</v>
      </c>
      <c r="G3" s="8" t="s">
        <v>13</v>
      </c>
      <c r="H3" t="s">
        <v>282</v>
      </c>
      <c r="J3" s="9" t="s">
        <v>7</v>
      </c>
      <c r="K3" t="s">
        <v>282</v>
      </c>
      <c r="M3" s="8" t="s">
        <v>6</v>
      </c>
      <c r="N3" t="s">
        <v>282</v>
      </c>
    </row>
    <row r="4" spans="1:14" x14ac:dyDescent="0.25">
      <c r="A4" t="s">
        <v>283</v>
      </c>
      <c r="B4" s="10">
        <v>2.8106796116504866</v>
      </c>
      <c r="D4" t="s">
        <v>26</v>
      </c>
      <c r="E4" s="1">
        <v>0.39100000000000001</v>
      </c>
      <c r="G4">
        <v>100</v>
      </c>
      <c r="H4" s="1">
        <v>0.157</v>
      </c>
      <c r="J4" t="s">
        <v>39</v>
      </c>
      <c r="K4" s="11">
        <v>215</v>
      </c>
      <c r="M4" t="s">
        <v>62</v>
      </c>
      <c r="N4" s="11">
        <v>68</v>
      </c>
    </row>
    <row r="5" spans="1:14" x14ac:dyDescent="0.25">
      <c r="A5" t="s">
        <v>284</v>
      </c>
      <c r="B5" s="10">
        <v>2.5741176470588236</v>
      </c>
      <c r="D5" t="s">
        <v>75</v>
      </c>
      <c r="E5" s="1">
        <v>0.18</v>
      </c>
      <c r="G5">
        <v>75</v>
      </c>
      <c r="H5" s="1">
        <v>0.13400000000000001</v>
      </c>
      <c r="J5" t="s">
        <v>24</v>
      </c>
      <c r="K5" s="11">
        <v>142</v>
      </c>
      <c r="M5" t="s">
        <v>125</v>
      </c>
      <c r="N5" s="11">
        <v>65</v>
      </c>
    </row>
    <row r="6" spans="1:14" x14ac:dyDescent="0.25">
      <c r="A6" t="s">
        <v>285</v>
      </c>
      <c r="B6" s="10">
        <v>2.538823529411764</v>
      </c>
      <c r="D6" t="s">
        <v>49</v>
      </c>
      <c r="E6" s="1">
        <v>0.158</v>
      </c>
      <c r="G6">
        <v>50</v>
      </c>
      <c r="H6" s="1">
        <v>0.152</v>
      </c>
      <c r="J6" t="s">
        <v>63</v>
      </c>
      <c r="K6" s="11">
        <v>68</v>
      </c>
      <c r="M6" t="s">
        <v>33</v>
      </c>
      <c r="N6" s="11">
        <v>52</v>
      </c>
    </row>
    <row r="7" spans="1:14" x14ac:dyDescent="0.25">
      <c r="A7" t="s">
        <v>286</v>
      </c>
      <c r="B7" s="10">
        <v>2.5237623762376242</v>
      </c>
      <c r="D7" t="s">
        <v>194</v>
      </c>
      <c r="E7" s="1">
        <v>9.4E-2</v>
      </c>
      <c r="G7">
        <v>40</v>
      </c>
      <c r="H7" s="1">
        <v>0.17100000000000001</v>
      </c>
      <c r="J7" t="s">
        <v>34</v>
      </c>
      <c r="K7" s="11">
        <v>52</v>
      </c>
      <c r="M7" t="s">
        <v>38</v>
      </c>
      <c r="N7" s="11">
        <v>51</v>
      </c>
    </row>
    <row r="8" spans="1:14" x14ac:dyDescent="0.25">
      <c r="A8" t="s">
        <v>287</v>
      </c>
      <c r="B8" s="10">
        <v>2.5105882352941169</v>
      </c>
      <c r="D8" t="s">
        <v>69</v>
      </c>
      <c r="E8" s="1">
        <v>0.17699999999999999</v>
      </c>
      <c r="G8">
        <v>30</v>
      </c>
      <c r="H8" s="1">
        <v>0.15</v>
      </c>
      <c r="J8" t="s">
        <v>53</v>
      </c>
      <c r="K8" s="11">
        <v>51</v>
      </c>
      <c r="M8" t="s">
        <v>52</v>
      </c>
      <c r="N8" s="11">
        <v>51</v>
      </c>
    </row>
    <row r="9" spans="1:14" x14ac:dyDescent="0.25">
      <c r="A9" t="s">
        <v>288</v>
      </c>
      <c r="B9" s="10">
        <v>2.4714285714285711</v>
      </c>
      <c r="D9" t="s">
        <v>289</v>
      </c>
      <c r="E9" s="1">
        <v>1</v>
      </c>
      <c r="G9">
        <v>20</v>
      </c>
      <c r="H9" s="1">
        <v>0.14199999999999999</v>
      </c>
      <c r="J9" t="s">
        <v>166</v>
      </c>
      <c r="K9" s="11">
        <v>49</v>
      </c>
      <c r="M9" t="s">
        <v>152</v>
      </c>
      <c r="N9" s="11">
        <v>50</v>
      </c>
    </row>
    <row r="10" spans="1:14" x14ac:dyDescent="0.25">
      <c r="A10" t="s">
        <v>290</v>
      </c>
      <c r="B10" s="10">
        <v>2.4361702127659566</v>
      </c>
      <c r="G10" s="12" t="s">
        <v>85</v>
      </c>
      <c r="H10" s="1">
        <v>9.4E-2</v>
      </c>
      <c r="J10" t="s">
        <v>96</v>
      </c>
      <c r="K10" s="11">
        <v>47</v>
      </c>
      <c r="M10" t="s">
        <v>44</v>
      </c>
      <c r="N10" s="11">
        <v>50</v>
      </c>
    </row>
    <row r="11" spans="1:14" x14ac:dyDescent="0.25">
      <c r="A11" t="s">
        <v>291</v>
      </c>
      <c r="B11" s="10">
        <v>2.4267441860465122</v>
      </c>
      <c r="G11" t="s">
        <v>289</v>
      </c>
      <c r="H11" s="1">
        <v>1</v>
      </c>
      <c r="J11" t="s">
        <v>105</v>
      </c>
      <c r="K11" s="11">
        <v>46</v>
      </c>
      <c r="M11" t="s">
        <v>183</v>
      </c>
      <c r="N11" s="11">
        <v>49</v>
      </c>
    </row>
    <row r="12" spans="1:14" x14ac:dyDescent="0.25">
      <c r="A12" t="s">
        <v>25</v>
      </c>
      <c r="B12" s="10">
        <v>2.4168539325842695</v>
      </c>
      <c r="J12" t="s">
        <v>147</v>
      </c>
      <c r="K12" s="11">
        <v>45</v>
      </c>
      <c r="M12" t="s">
        <v>165</v>
      </c>
      <c r="N12" s="11">
        <v>49</v>
      </c>
    </row>
    <row r="13" spans="1:14" x14ac:dyDescent="0.25">
      <c r="A13" t="s">
        <v>292</v>
      </c>
      <c r="B13" s="10">
        <v>2.3655913978494625</v>
      </c>
      <c r="J13" t="s">
        <v>68</v>
      </c>
      <c r="K13" s="11">
        <v>45</v>
      </c>
      <c r="M13" t="s">
        <v>95</v>
      </c>
      <c r="N13" s="11">
        <v>47</v>
      </c>
    </row>
    <row r="14" spans="1:14" x14ac:dyDescent="0.25">
      <c r="A14" t="s">
        <v>289</v>
      </c>
      <c r="B14" s="10">
        <v>2.5116926503340742</v>
      </c>
      <c r="J14" t="s">
        <v>178</v>
      </c>
      <c r="K14" s="11">
        <v>44</v>
      </c>
      <c r="M14" t="s">
        <v>23</v>
      </c>
      <c r="N14" s="11">
        <v>47</v>
      </c>
    </row>
    <row r="15" spans="1:14" x14ac:dyDescent="0.25">
      <c r="J15" t="s">
        <v>133</v>
      </c>
      <c r="K15" s="11">
        <v>44</v>
      </c>
      <c r="M15" t="s">
        <v>104</v>
      </c>
      <c r="N15" s="11">
        <v>46</v>
      </c>
    </row>
    <row r="16" spans="1:14" x14ac:dyDescent="0.25">
      <c r="J16" t="s">
        <v>254</v>
      </c>
      <c r="K16" s="11">
        <v>42</v>
      </c>
      <c r="M16" t="s">
        <v>146</v>
      </c>
      <c r="N16" s="11">
        <v>45</v>
      </c>
    </row>
    <row r="17" spans="10:14" x14ac:dyDescent="0.25">
      <c r="J17" t="s">
        <v>118</v>
      </c>
      <c r="K17" s="11">
        <v>42</v>
      </c>
      <c r="M17" t="s">
        <v>84</v>
      </c>
      <c r="N17" s="11">
        <v>45</v>
      </c>
    </row>
    <row r="18" spans="10:14" x14ac:dyDescent="0.25">
      <c r="J18" t="s">
        <v>89</v>
      </c>
      <c r="K18" s="11">
        <v>37</v>
      </c>
      <c r="M18" t="s">
        <v>67</v>
      </c>
      <c r="N18" s="11">
        <v>45</v>
      </c>
    </row>
    <row r="19" spans="10:14" x14ac:dyDescent="0.25">
      <c r="J19" t="s">
        <v>48</v>
      </c>
      <c r="K19" s="11">
        <v>31</v>
      </c>
      <c r="M19" t="s">
        <v>132</v>
      </c>
      <c r="N19" s="11">
        <v>44</v>
      </c>
    </row>
    <row r="20" spans="10:14" x14ac:dyDescent="0.25">
      <c r="J20" t="s">
        <v>289</v>
      </c>
      <c r="K20" s="11">
        <v>1000</v>
      </c>
      <c r="M20" t="s">
        <v>177</v>
      </c>
      <c r="N20" s="11">
        <v>44</v>
      </c>
    </row>
    <row r="21" spans="10:14" x14ac:dyDescent="0.25">
      <c r="M21" t="s">
        <v>117</v>
      </c>
      <c r="N21" s="11">
        <v>42</v>
      </c>
    </row>
    <row r="22" spans="10:14" x14ac:dyDescent="0.25">
      <c r="M22" t="s">
        <v>253</v>
      </c>
      <c r="N22" s="11">
        <v>42</v>
      </c>
    </row>
    <row r="23" spans="10:14" x14ac:dyDescent="0.25">
      <c r="M23" t="s">
        <v>88</v>
      </c>
      <c r="N23" s="11">
        <v>37</v>
      </c>
    </row>
    <row r="24" spans="10:14" x14ac:dyDescent="0.25">
      <c r="M24" t="s">
        <v>47</v>
      </c>
      <c r="N24" s="11">
        <v>31</v>
      </c>
    </row>
    <row r="25" spans="10:14" x14ac:dyDescent="0.25">
      <c r="M25" t="s">
        <v>289</v>
      </c>
      <c r="N25" s="11">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2:N3"/>
  <sheetViews>
    <sheetView showGridLines="0" tabSelected="1" topLeftCell="C1" zoomScale="67" workbookViewId="0">
      <selection activeCell="M33" sqref="M33"/>
    </sheetView>
  </sheetViews>
  <sheetFormatPr defaultRowHeight="13.5" x14ac:dyDescent="0.25"/>
  <cols>
    <col min="13" max="13" width="73.4140625" bestFit="1" customWidth="1"/>
  </cols>
  <sheetData>
    <row r="2" spans="12:14" ht="35" thickBot="1" x14ac:dyDescent="0.7">
      <c r="L2" s="13"/>
      <c r="M2" s="14" t="s">
        <v>2089</v>
      </c>
      <c r="N2" s="15"/>
    </row>
    <row r="3" spans="12:14" ht="14" thickTop="1" x14ac:dyDescent="0.25">
      <c r="L3" s="13"/>
      <c r="M3" s="13"/>
      <c r="N3" s="1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cp:lastModifiedBy>
  <cp:revision/>
  <dcterms:created xsi:type="dcterms:W3CDTF">2025-09-01T13:28:10Z</dcterms:created>
  <dcterms:modified xsi:type="dcterms:W3CDTF">2025-09-04T14:41:46Z</dcterms:modified>
  <cp:category/>
  <cp:contentStatus/>
</cp:coreProperties>
</file>